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eph\Downloads\"/>
    </mc:Choice>
  </mc:AlternateContent>
  <xr:revisionPtr revIDLastSave="0" documentId="13_ncr:1_{340EC083-7D4B-4CBD-AEDA-E153A17970F8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Cover" sheetId="1" r:id="rId1"/>
    <sheet name="Assumptions" sheetId="2" r:id="rId2"/>
    <sheet name="P&amp;L" sheetId="3" r:id="rId3"/>
    <sheet name="Balance Sheet" sheetId="4" r:id="rId4"/>
    <sheet name="Cash Flow" sheetId="5" r:id="rId5"/>
    <sheet name="KPI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6" l="1"/>
  <c r="G18" i="6"/>
  <c r="F18" i="6"/>
  <c r="F17" i="6"/>
  <c r="G7" i="6"/>
  <c r="F7" i="6"/>
  <c r="G5" i="6"/>
  <c r="F5" i="6"/>
  <c r="G20" i="4"/>
  <c r="F20" i="4"/>
  <c r="G19" i="5"/>
  <c r="F19" i="5"/>
  <c r="G11" i="5"/>
  <c r="F11" i="5"/>
  <c r="F12" i="5"/>
  <c r="F9" i="5"/>
  <c r="G19" i="4"/>
  <c r="F19" i="4"/>
  <c r="G13" i="4"/>
  <c r="G15" i="4" s="1"/>
  <c r="G17" i="4" s="1"/>
  <c r="F13" i="4"/>
  <c r="F15" i="4" s="1"/>
  <c r="F17" i="4" s="1"/>
  <c r="G8" i="4"/>
  <c r="F8" i="4"/>
  <c r="G5" i="4"/>
  <c r="G7" i="4"/>
  <c r="G10" i="4" s="1"/>
  <c r="F5" i="4"/>
  <c r="G9" i="5"/>
  <c r="F13" i="3"/>
  <c r="G11" i="3"/>
  <c r="F11" i="3"/>
  <c r="G10" i="3"/>
  <c r="F10" i="3"/>
  <c r="G9" i="3"/>
  <c r="F9" i="3"/>
  <c r="G6" i="3"/>
  <c r="G7" i="3" s="1"/>
  <c r="F6" i="3"/>
  <c r="G4" i="3"/>
  <c r="F4" i="3"/>
  <c r="F7" i="3" s="1"/>
  <c r="F7" i="4"/>
  <c r="G8" i="2"/>
  <c r="G22" i="6"/>
  <c r="F22" i="6"/>
  <c r="E22" i="6"/>
  <c r="D22" i="6"/>
  <c r="C22" i="6"/>
  <c r="G16" i="5"/>
  <c r="F16" i="5"/>
  <c r="E16" i="5"/>
  <c r="D16" i="5"/>
  <c r="C16" i="5"/>
  <c r="G12" i="5"/>
  <c r="E12" i="5"/>
  <c r="D12" i="5"/>
  <c r="C12" i="5"/>
  <c r="E9" i="5"/>
  <c r="E18" i="5" s="1"/>
  <c r="E20" i="5" s="1"/>
  <c r="D9" i="5"/>
  <c r="D18" i="5" s="1"/>
  <c r="D20" i="5" s="1"/>
  <c r="C9" i="5"/>
  <c r="C18" i="5" s="1"/>
  <c r="C20" i="5" s="1"/>
  <c r="E21" i="4"/>
  <c r="D21" i="4"/>
  <c r="C21" i="4"/>
  <c r="E17" i="4"/>
  <c r="E22" i="4" s="1"/>
  <c r="D17" i="4"/>
  <c r="D22" i="4" s="1"/>
  <c r="E15" i="4"/>
  <c r="D15" i="4"/>
  <c r="C15" i="4"/>
  <c r="C17" i="4" s="1"/>
  <c r="C22" i="4" s="1"/>
  <c r="E10" i="4"/>
  <c r="D10" i="4"/>
  <c r="C10" i="4"/>
  <c r="E7" i="4"/>
  <c r="D7" i="4"/>
  <c r="C7" i="4"/>
  <c r="E25" i="3"/>
  <c r="D25" i="3"/>
  <c r="C25" i="3"/>
  <c r="E24" i="3"/>
  <c r="D24" i="3"/>
  <c r="C24" i="3"/>
  <c r="E23" i="3"/>
  <c r="D23" i="3"/>
  <c r="C23" i="3"/>
  <c r="H26" i="2"/>
  <c r="G26" i="2"/>
  <c r="F26" i="2"/>
  <c r="E26" i="2"/>
  <c r="D26" i="2"/>
  <c r="H22" i="2"/>
  <c r="G22" i="2"/>
  <c r="F22" i="2"/>
  <c r="E22" i="2"/>
  <c r="D22" i="2"/>
  <c r="F11" i="2"/>
  <c r="E11" i="2"/>
  <c r="D11" i="2"/>
  <c r="F9" i="2"/>
  <c r="H8" i="2"/>
  <c r="H11" i="2" s="1"/>
  <c r="F8" i="2"/>
  <c r="E8" i="2"/>
  <c r="E9" i="2" s="1"/>
  <c r="D8" i="2"/>
  <c r="G21" i="4" l="1"/>
  <c r="F21" i="4"/>
  <c r="F22" i="4" s="1"/>
  <c r="G18" i="5"/>
  <c r="G20" i="5" s="1"/>
  <c r="F18" i="5"/>
  <c r="F20" i="5" s="1"/>
  <c r="G22" i="4"/>
  <c r="F10" i="4"/>
  <c r="G12" i="3"/>
  <c r="G13" i="3" s="1"/>
  <c r="F12" i="3"/>
  <c r="G23" i="3"/>
  <c r="F23" i="3"/>
  <c r="H9" i="2"/>
  <c r="G11" i="2"/>
  <c r="G9" i="2"/>
  <c r="G16" i="3" l="1"/>
  <c r="G19" i="3" s="1"/>
  <c r="G21" i="3" s="1"/>
  <c r="G25" i="3" s="1"/>
  <c r="G24" i="3"/>
  <c r="F24" i="3"/>
  <c r="F16" i="3"/>
  <c r="F19" i="3" s="1"/>
  <c r="F21" i="3" s="1"/>
  <c r="F25" i="3" s="1"/>
</calcChain>
</file>

<file path=xl/sharedStrings.xml><?xml version="1.0" encoding="utf-8"?>
<sst xmlns="http://schemas.openxmlformats.org/spreadsheetml/2006/main" count="197" uniqueCount="172">
  <si>
    <t>VAULTLINE SECURITY</t>
  </si>
  <si>
    <t>Three-Statement Financial Model | FY2022A – FY2026E</t>
  </si>
  <si>
    <t>Seed-Stage Cybersecurity SaaS | Endpoint Threat Detection for SMBs</t>
  </si>
  <si>
    <t>COLOR LEGEND</t>
  </si>
  <si>
    <t>Blue text</t>
  </si>
  <si>
    <t>Hardcoded input — change to update assumptions</t>
  </si>
  <si>
    <t>Black text</t>
  </si>
  <si>
    <t>Formula / calculated value — do not overwrite</t>
  </si>
  <si>
    <t>Green text</t>
  </si>
  <si>
    <t>Cross-sheet link from another tab</t>
  </si>
  <si>
    <t>Yellow cell</t>
  </si>
  <si>
    <t>Input required — fill in your forecast assumption</t>
  </si>
  <si>
    <t>Blue shading</t>
  </si>
  <si>
    <t>Forecast period (FY2025E – FY2026E)</t>
  </si>
  <si>
    <t>MODEL STRUCTURE</t>
  </si>
  <si>
    <t>Assumptions</t>
  </si>
  <si>
    <t>Key drivers — fill in forecast assumptions here FIRST</t>
  </si>
  <si>
    <t>P&amp;L</t>
  </si>
  <si>
    <t>Income statement: revenue build, gross profit, EBITDA, net income</t>
  </si>
  <si>
    <t>Balance Sheet</t>
  </si>
  <si>
    <t>Assets, liabilities, equity — linked to P&amp;L and Cash Flow</t>
  </si>
  <si>
    <t>Cash Flow</t>
  </si>
  <si>
    <t>Operating, investing, financing cash flows — linked to P&amp;L and BS</t>
  </si>
  <si>
    <t>KPI Summary</t>
  </si>
  <si>
    <t>SaaS metrics: ARR, MRR, churn, CAC, LTV, Rule of 40</t>
  </si>
  <si>
    <t>NOTE: Start with the Assumptions tab. All forecast cells highlighted in yellow require your input.</t>
  </si>
  <si>
    <t>Vaultline Security — Model Assumptions</t>
  </si>
  <si>
    <t>Assumption</t>
  </si>
  <si>
    <t>Notes</t>
  </si>
  <si>
    <t>FY2022</t>
  </si>
  <si>
    <t>FY2023</t>
  </si>
  <si>
    <t>FY2024</t>
  </si>
  <si>
    <t>FY2025E</t>
  </si>
  <si>
    <t>FY2026E</t>
  </si>
  <si>
    <t>← FORECAST PERIOD — INPUT REQUIRED →</t>
  </si>
  <si>
    <t xml:space="preserve">  REVENUE DRIVERS</t>
  </si>
  <si>
    <t>Beginning ARR ($000s)</t>
  </si>
  <si>
    <t>ARR at start of year</t>
  </si>
  <si>
    <t>New ARR Added ($000s)</t>
  </si>
  <si>
    <t>New contracts signed in year</t>
  </si>
  <si>
    <t>Churned ARR ($000s)</t>
  </si>
  <si>
    <t>Lost contracts (enter as negative)</t>
  </si>
  <si>
    <t>Ending ARR ($000s)</t>
  </si>
  <si>
    <t>Beg ARR + New ARR + Churned ARR</t>
  </si>
  <si>
    <t>ARR Growth Rate</t>
  </si>
  <si>
    <t>YoY % change in ending ARR</t>
  </si>
  <si>
    <t>-</t>
  </si>
  <si>
    <t>Average Customers</t>
  </si>
  <si>
    <t>Avg active customers in year</t>
  </si>
  <si>
    <t>Average ACV ($000s)</t>
  </si>
  <si>
    <t>ARR / Avg Customers</t>
  </si>
  <si>
    <t>Monthly Churn Rate</t>
  </si>
  <si>
    <t>% of MRR lost per month</t>
  </si>
  <si>
    <t xml:space="preserve">  GROSS MARGIN</t>
  </si>
  <si>
    <t>Gross Margin %</t>
  </si>
  <si>
    <t>Revenue less hosting/infra costs</t>
  </si>
  <si>
    <t xml:space="preserve">  OPERATING EXPENSES</t>
  </si>
  <si>
    <t>R&amp;D % of Revenue</t>
  </si>
  <si>
    <t>Product &amp; engineering headcount</t>
  </si>
  <si>
    <t>S&amp;M % of Revenue</t>
  </si>
  <si>
    <t>Sales, marketing, partnerships</t>
  </si>
  <si>
    <t>G&amp;A % of Revenue</t>
  </si>
  <si>
    <t>Finance, HR, legal, facilities</t>
  </si>
  <si>
    <t xml:space="preserve">  HEADCOUNT</t>
  </si>
  <si>
    <t>Total Headcount (EoP)</t>
  </si>
  <si>
    <t>Employees at year end</t>
  </si>
  <si>
    <t>Avg Salary + Benefits ($000s)</t>
  </si>
  <si>
    <t>Fully loaded cost per head</t>
  </si>
  <si>
    <t>Total People Cost ($000s)</t>
  </si>
  <si>
    <t>HC x Avg Salary</t>
  </si>
  <si>
    <t xml:space="preserve">  UNIT ECONOMICS</t>
  </si>
  <si>
    <t>CAC ($000s)</t>
  </si>
  <si>
    <t>Cost to acquire one customer</t>
  </si>
  <si>
    <t>LTV ($000s)</t>
  </si>
  <si>
    <t>Lifetime value per customer</t>
  </si>
  <si>
    <t>LTV:CAC Ratio</t>
  </si>
  <si>
    <t>Should be &gt;3x for healthy SaaS</t>
  </si>
  <si>
    <t>Payback Period (months)</t>
  </si>
  <si>
    <t>Months to recover CAC</t>
  </si>
  <si>
    <t xml:space="preserve">  BALANCE SHEET &amp; CASH</t>
  </si>
  <si>
    <t>Beginning Cash ($000s)</t>
  </si>
  <si>
    <t>Cash at start of year</t>
  </si>
  <si>
    <t>Capex % of Revenue</t>
  </si>
  <si>
    <t>Software dev capitalised + hardware</t>
  </si>
  <si>
    <t>DSO (days)</t>
  </si>
  <si>
    <t>Days sales outstanding</t>
  </si>
  <si>
    <t>Seed Funding Raised ($000s)</t>
  </si>
  <si>
    <t>External funding in year</t>
  </si>
  <si>
    <t>Vaultline Security — Income Statement ($000s)</t>
  </si>
  <si>
    <t>Income Statement ($000s)</t>
  </si>
  <si>
    <t>← FORECAST — LINKS FROM ASSUMPTIONS →</t>
  </si>
  <si>
    <t xml:space="preserve">  Revenue</t>
  </si>
  <si>
    <t xml:space="preserve">  REVENUE</t>
  </si>
  <si>
    <t xml:space="preserve">  Cost of Revenue</t>
  </si>
  <si>
    <t>Gross Profit</t>
  </si>
  <si>
    <t xml:space="preserve">  R&amp;D</t>
  </si>
  <si>
    <t xml:space="preserve">  Sales &amp; Marketing</t>
  </si>
  <si>
    <t xml:space="preserve">  G&amp;A</t>
  </si>
  <si>
    <t>Total OpEx</t>
  </si>
  <si>
    <t>EBITDA</t>
  </si>
  <si>
    <t xml:space="preserve">  BELOW THE LINE</t>
  </si>
  <si>
    <t xml:space="preserve">  D&amp;A</t>
  </si>
  <si>
    <t>EBIT</t>
  </si>
  <si>
    <t xml:space="preserve">  Interest Income</t>
  </si>
  <si>
    <t xml:space="preserve">  Interest Expense</t>
  </si>
  <si>
    <t>Net Income Before Tax</t>
  </si>
  <si>
    <t xml:space="preserve">  Tax</t>
  </si>
  <si>
    <t>Net Income</t>
  </si>
  <si>
    <t xml:space="preserve">  MARGIN ANALYSIS</t>
  </si>
  <si>
    <t xml:space="preserve">  Gross Margin %</t>
  </si>
  <si>
    <t xml:space="preserve">  EBITDA Margin %</t>
  </si>
  <si>
    <t xml:space="preserve">  Net Margin %</t>
  </si>
  <si>
    <t>Vaultline Security — Balance Sheet ($000s)</t>
  </si>
  <si>
    <t>Balance Sheet ($000s)</t>
  </si>
  <si>
    <t xml:space="preserve">  ASSETS</t>
  </si>
  <si>
    <t xml:space="preserve">  Cash &amp; Equivalents</t>
  </si>
  <si>
    <t xml:space="preserve">  Accounts Receivable</t>
  </si>
  <si>
    <t xml:space="preserve">  Prepaid &amp; Other CA</t>
  </si>
  <si>
    <t>Total Current Assets</t>
  </si>
  <si>
    <t xml:space="preserve">  PP&amp;E (net)</t>
  </si>
  <si>
    <t xml:space="preserve">  Intangible Assets</t>
  </si>
  <si>
    <t>Total Assets</t>
  </si>
  <si>
    <t xml:space="preserve">  LIABILITIES</t>
  </si>
  <si>
    <t xml:space="preserve">  Accounts Payable</t>
  </si>
  <si>
    <t xml:space="preserve">  Deferred Revenue</t>
  </si>
  <si>
    <t xml:space="preserve">  Accrued Liabilities</t>
  </si>
  <si>
    <t>Total Current Liabilities</t>
  </si>
  <si>
    <t xml:space="preserve">  Long Term Debt</t>
  </si>
  <si>
    <t>Total Liabilities</t>
  </si>
  <si>
    <t xml:space="preserve">  EQUITY</t>
  </si>
  <si>
    <t xml:space="preserve">  Paid-in Capital</t>
  </si>
  <si>
    <t xml:space="preserve">  Accumulated Deficit</t>
  </si>
  <si>
    <t>Total Equity</t>
  </si>
  <si>
    <t>Total Liabilities &amp; Equity</t>
  </si>
  <si>
    <t>Vaultline Security — Cash Flow Statement ($000s)</t>
  </si>
  <si>
    <t>Cash Flow Statement ($000s)</t>
  </si>
  <si>
    <t xml:space="preserve">  OPERATING ACTIVITIES</t>
  </si>
  <si>
    <t xml:space="preserve">  Net Income</t>
  </si>
  <si>
    <t xml:space="preserve">  D&amp;A Addback</t>
  </si>
  <si>
    <t xml:space="preserve">  Change in AR</t>
  </si>
  <si>
    <t xml:space="preserve">  Change in Deferred Revenue</t>
  </si>
  <si>
    <t xml:space="preserve">  Change in AP &amp; Accruals</t>
  </si>
  <si>
    <t>Cash from Operations</t>
  </si>
  <si>
    <t xml:space="preserve">  INVESTING ACTIVITIES</t>
  </si>
  <si>
    <t xml:space="preserve">  Capex</t>
  </si>
  <si>
    <t>Cash from Investing</t>
  </si>
  <si>
    <t xml:space="preserve">  FINANCING ACTIVITIES</t>
  </si>
  <si>
    <t xml:space="preserve">  Equity Raised</t>
  </si>
  <si>
    <t xml:space="preserve">  Debt Raised / (Repaid)</t>
  </si>
  <si>
    <t>Cash from Financing</t>
  </si>
  <si>
    <t xml:space="preserve">  CASH SUMMARY</t>
  </si>
  <si>
    <t>Net Change in Cash</t>
  </si>
  <si>
    <t xml:space="preserve">  Beginning Cash</t>
  </si>
  <si>
    <t>Ending Cash</t>
  </si>
  <si>
    <t>Vaultline Security — SaaS KPI Summary</t>
  </si>
  <si>
    <t>KPI</t>
  </si>
  <si>
    <t xml:space="preserve">  ARR &amp; REVENUE METRICS</t>
  </si>
  <si>
    <t xml:space="preserve">  Ending ARR ($000s)</t>
  </si>
  <si>
    <t xml:space="preserve">  MRR ($000s)</t>
  </si>
  <si>
    <t xml:space="preserve">  ARR Growth Rate</t>
  </si>
  <si>
    <t xml:space="preserve">  Net Revenue Retention</t>
  </si>
  <si>
    <t xml:space="preserve">  EFFICIENCY METRICS</t>
  </si>
  <si>
    <t xml:space="preserve">  CAC ($000s)</t>
  </si>
  <si>
    <t xml:space="preserve">  LTV ($000s)</t>
  </si>
  <si>
    <t xml:space="preserve">  LTV:CAC Ratio</t>
  </si>
  <si>
    <t xml:space="preserve">  CAC Payback (months)</t>
  </si>
  <si>
    <t xml:space="preserve">  Monthly Churn Rate</t>
  </si>
  <si>
    <t xml:space="preserve">  PROFITABILITY &amp; BURN</t>
  </si>
  <si>
    <t xml:space="preserve">  Monthly Burn ($000s)</t>
  </si>
  <si>
    <t xml:space="preserve">  Runway (months)</t>
  </si>
  <si>
    <t xml:space="preserve">  RULE OF 40</t>
  </si>
  <si>
    <t xml:space="preserve">  Rule of 40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</si>
</sst>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0.0%;\(0.0%\);\-"/>
    <numFmt numFmtId="166" formatCode="#,##0;\(#,##0\);\-"/>
    <numFmt numFmtId="167" formatCode="0.0\x;\(0.0&quot;x)&quot;;\-"/>
    <numFmt numFmtId="168" formatCode="0.0\x"/>
  </numFmts>
  <fonts count="15" x14ac:knownFonts="1">
    <font>
      <sz val="11"/>
      <color theme="1"/>
      <name val="Calibri"/>
      <family val="2"/>
      <charset val="1"/>
    </font>
    <font>
      <b/>
      <sz val="22"/>
      <color rgb="FF1F3864"/>
      <name val="Arial"/>
      <charset val="1"/>
    </font>
    <font>
      <i/>
      <sz val="13"/>
      <color rgb="FF595959"/>
      <name val="Arial"/>
      <charset val="1"/>
    </font>
    <font>
      <sz val="11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B050"/>
      <name val="Arial"/>
      <charset val="1"/>
    </font>
    <font>
      <b/>
      <sz val="10"/>
      <color rgb="FF2E75B6"/>
      <name val="Arial"/>
      <charset val="1"/>
    </font>
    <font>
      <b/>
      <i/>
      <sz val="10"/>
      <color rgb="FFFF0000"/>
      <name val="Arial"/>
      <charset val="1"/>
    </font>
    <font>
      <b/>
      <sz val="13"/>
      <color rgb="FFFFFFFF"/>
      <name val="Arial"/>
      <charset val="1"/>
    </font>
    <font>
      <b/>
      <i/>
      <sz val="9"/>
      <color rgb="FF1F3864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3FB"/>
      </patternFill>
    </fill>
    <fill>
      <patternFill patternType="solid">
        <fgColor rgb="FFF2F2F2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3" borderId="2" xfId="0" applyFont="1" applyFill="1" applyBorder="1"/>
    <xf numFmtId="0" fontId="7" fillId="3" borderId="2" xfId="0" applyFont="1" applyFill="1" applyBorder="1"/>
    <xf numFmtId="0" fontId="8" fillId="3" borderId="2" xfId="0" applyFont="1" applyFill="1" applyBorder="1"/>
    <xf numFmtId="0" fontId="7" fillId="4" borderId="2" xfId="0" applyFont="1" applyFill="1" applyBorder="1"/>
    <xf numFmtId="0" fontId="7" fillId="5" borderId="2" xfId="0" applyFont="1" applyFill="1" applyBorder="1"/>
    <xf numFmtId="0" fontId="9" fillId="0" borderId="2" xfId="0" applyFont="1" applyBorder="1"/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164" fontId="14" fillId="3" borderId="2" xfId="0" applyNumberFormat="1" applyFont="1" applyFill="1" applyBorder="1" applyAlignment="1">
      <alignment horizontal="right" vertical="center"/>
    </xf>
    <xf numFmtId="164" fontId="14" fillId="4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165" fontId="6" fillId="3" borderId="2" xfId="0" applyNumberFormat="1" applyFont="1" applyFill="1" applyBorder="1" applyAlignment="1">
      <alignment horizontal="right" vertical="center"/>
    </xf>
    <xf numFmtId="165" fontId="6" fillId="5" borderId="2" xfId="0" applyNumberFormat="1" applyFont="1" applyFill="1" applyBorder="1" applyAlignment="1">
      <alignment horizontal="right" vertical="center"/>
    </xf>
    <xf numFmtId="166" fontId="14" fillId="3" borderId="2" xfId="0" applyNumberFormat="1" applyFont="1" applyFill="1" applyBorder="1" applyAlignment="1">
      <alignment horizontal="right" vertical="center"/>
    </xf>
    <xf numFmtId="166" fontId="14" fillId="4" borderId="2" xfId="0" applyNumberFormat="1" applyFont="1" applyFill="1" applyBorder="1" applyAlignment="1">
      <alignment horizontal="right" vertical="center"/>
    </xf>
    <xf numFmtId="165" fontId="14" fillId="3" borderId="2" xfId="0" applyNumberFormat="1" applyFont="1" applyFill="1" applyBorder="1" applyAlignment="1">
      <alignment horizontal="right" vertical="center"/>
    </xf>
    <xf numFmtId="165" fontId="14" fillId="4" borderId="2" xfId="0" applyNumberFormat="1" applyFont="1" applyFill="1" applyBorder="1" applyAlignment="1">
      <alignment horizontal="right" vertical="center"/>
    </xf>
    <xf numFmtId="167" fontId="6" fillId="3" borderId="2" xfId="0" applyNumberFormat="1" applyFont="1" applyFill="1" applyBorder="1" applyAlignment="1">
      <alignment horizontal="right" vertical="center"/>
    </xf>
    <xf numFmtId="167" fontId="6" fillId="5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164" fontId="7" fillId="7" borderId="2" xfId="0" applyNumberFormat="1" applyFont="1" applyFill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left" vertical="center"/>
    </xf>
    <xf numFmtId="165" fontId="6" fillId="8" borderId="2" xfId="0" applyNumberFormat="1" applyFont="1" applyFill="1" applyBorder="1" applyAlignment="1">
      <alignment horizontal="right" vertical="center"/>
    </xf>
    <xf numFmtId="164" fontId="14" fillId="0" borderId="2" xfId="0" applyNumberFormat="1" applyFont="1" applyBorder="1" applyAlignment="1">
      <alignment horizontal="right" vertical="center"/>
    </xf>
    <xf numFmtId="168" fontId="14" fillId="3" borderId="2" xfId="0" applyNumberFormat="1" applyFont="1" applyFill="1" applyBorder="1" applyAlignment="1">
      <alignment horizontal="right" vertical="center"/>
    </xf>
    <xf numFmtId="168" fontId="14" fillId="4" borderId="2" xfId="0" applyNumberFormat="1" applyFont="1" applyFill="1" applyBorder="1" applyAlignment="1">
      <alignment horizontal="right" vertical="center"/>
    </xf>
    <xf numFmtId="165" fontId="7" fillId="7" borderId="2" xfId="0" applyNumberFormat="1" applyFont="1" applyFill="1" applyBorder="1" applyAlignment="1">
      <alignment horizontal="right" vertical="center"/>
    </xf>
    <xf numFmtId="165" fontId="7" fillId="5" borderId="2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wrapText="1"/>
    </xf>
    <xf numFmtId="0" fontId="1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0"/>
  <sheetViews>
    <sheetView showGridLines="0" zoomScaleNormal="100" workbookViewId="0">
      <selection activeCell="B20" sqref="B20:D20"/>
    </sheetView>
  </sheetViews>
  <sheetFormatPr defaultColWidth="8.7109375" defaultRowHeight="15" x14ac:dyDescent="0.25"/>
  <cols>
    <col min="1" max="1" width="4" customWidth="1"/>
    <col min="2" max="2" width="35" customWidth="1"/>
    <col min="3" max="4" width="25" customWidth="1"/>
  </cols>
  <sheetData>
    <row r="2" spans="2:4" ht="36" customHeight="1" x14ac:dyDescent="0.25">
      <c r="B2" s="39" t="s">
        <v>0</v>
      </c>
      <c r="C2" s="39"/>
      <c r="D2" s="39"/>
    </row>
    <row r="3" spans="2:4" ht="21.75" customHeight="1" x14ac:dyDescent="0.25">
      <c r="B3" s="40" t="s">
        <v>1</v>
      </c>
      <c r="C3" s="40"/>
      <c r="D3" s="40"/>
    </row>
    <row r="4" spans="2:4" ht="18" customHeight="1" x14ac:dyDescent="0.25">
      <c r="B4" s="41" t="s">
        <v>2</v>
      </c>
      <c r="C4" s="41"/>
      <c r="D4" s="41"/>
    </row>
    <row r="5" spans="2:4" ht="13.5" customHeight="1" x14ac:dyDescent="0.25"/>
    <row r="6" spans="2:4" ht="19.5" customHeight="1" x14ac:dyDescent="0.25">
      <c r="B6" s="42" t="s">
        <v>3</v>
      </c>
      <c r="C6" s="42"/>
      <c r="D6" s="42"/>
    </row>
    <row r="7" spans="2:4" ht="18" customHeight="1" x14ac:dyDescent="0.25">
      <c r="B7" s="1" t="s">
        <v>4</v>
      </c>
      <c r="C7" s="43" t="s">
        <v>5</v>
      </c>
      <c r="D7" s="43"/>
    </row>
    <row r="8" spans="2:4" ht="18" customHeight="1" x14ac:dyDescent="0.25">
      <c r="B8" s="2" t="s">
        <v>6</v>
      </c>
      <c r="C8" s="43" t="s">
        <v>7</v>
      </c>
      <c r="D8" s="43"/>
    </row>
    <row r="9" spans="2:4" ht="18" customHeight="1" x14ac:dyDescent="0.25">
      <c r="B9" s="3" t="s">
        <v>8</v>
      </c>
      <c r="C9" s="43" t="s">
        <v>9</v>
      </c>
      <c r="D9" s="43"/>
    </row>
    <row r="10" spans="2:4" ht="18" customHeight="1" x14ac:dyDescent="0.25">
      <c r="B10" s="4" t="s">
        <v>10</v>
      </c>
      <c r="C10" s="43" t="s">
        <v>11</v>
      </c>
      <c r="D10" s="43"/>
    </row>
    <row r="11" spans="2:4" ht="18" customHeight="1" x14ac:dyDescent="0.25">
      <c r="B11" s="5" t="s">
        <v>12</v>
      </c>
      <c r="C11" s="43" t="s">
        <v>13</v>
      </c>
      <c r="D11" s="43"/>
    </row>
    <row r="12" spans="2:4" ht="13.5" customHeight="1" x14ac:dyDescent="0.25"/>
    <row r="13" spans="2:4" ht="19.5" customHeight="1" x14ac:dyDescent="0.25">
      <c r="B13" s="42" t="s">
        <v>14</v>
      </c>
      <c r="C13" s="42"/>
      <c r="D13" s="42"/>
    </row>
    <row r="14" spans="2:4" ht="18" customHeight="1" x14ac:dyDescent="0.25">
      <c r="B14" s="6" t="s">
        <v>15</v>
      </c>
      <c r="C14" s="43" t="s">
        <v>16</v>
      </c>
      <c r="D14" s="43"/>
    </row>
    <row r="15" spans="2:4" ht="18" customHeight="1" x14ac:dyDescent="0.25">
      <c r="B15" s="6" t="s">
        <v>17</v>
      </c>
      <c r="C15" s="43" t="s">
        <v>18</v>
      </c>
      <c r="D15" s="43"/>
    </row>
    <row r="16" spans="2:4" ht="18" customHeight="1" x14ac:dyDescent="0.25">
      <c r="B16" s="6" t="s">
        <v>19</v>
      </c>
      <c r="C16" s="43" t="s">
        <v>20</v>
      </c>
      <c r="D16" s="43"/>
    </row>
    <row r="17" spans="2:4" ht="18" customHeight="1" x14ac:dyDescent="0.25">
      <c r="B17" s="6" t="s">
        <v>21</v>
      </c>
      <c r="C17" s="43" t="s">
        <v>22</v>
      </c>
      <c r="D17" s="43"/>
    </row>
    <row r="18" spans="2:4" ht="18" customHeight="1" x14ac:dyDescent="0.25">
      <c r="B18" s="6" t="s">
        <v>23</v>
      </c>
      <c r="C18" s="43" t="s">
        <v>24</v>
      </c>
      <c r="D18" s="43"/>
    </row>
    <row r="19" spans="2:4" ht="13.5" customHeight="1" x14ac:dyDescent="0.25"/>
    <row r="20" spans="2:4" ht="18" customHeight="1" x14ac:dyDescent="0.25">
      <c r="B20" s="44" t="s">
        <v>25</v>
      </c>
      <c r="C20" s="44"/>
      <c r="D20" s="44"/>
    </row>
  </sheetData>
  <mergeCells count="16">
    <mergeCell ref="B20:D20"/>
    <mergeCell ref="C14:D14"/>
    <mergeCell ref="C15:D15"/>
    <mergeCell ref="C16:D16"/>
    <mergeCell ref="C17:D17"/>
    <mergeCell ref="C18:D18"/>
    <mergeCell ref="C8:D8"/>
    <mergeCell ref="C9:D9"/>
    <mergeCell ref="C10:D10"/>
    <mergeCell ref="C11:D11"/>
    <mergeCell ref="B13:D13"/>
    <mergeCell ref="B2:D2"/>
    <mergeCell ref="B3:D3"/>
    <mergeCell ref="B4:D4"/>
    <mergeCell ref="B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2"/>
  <sheetViews>
    <sheetView showGridLines="0" zoomScale="90" zoomScaleNormal="90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K12" sqref="K12"/>
    </sheetView>
  </sheetViews>
  <sheetFormatPr defaultColWidth="8.7109375" defaultRowHeight="15" x14ac:dyDescent="0.25"/>
  <cols>
    <col min="1" max="1" width="4" customWidth="1"/>
    <col min="2" max="2" width="34" customWidth="1"/>
    <col min="3" max="3" width="31.85546875" bestFit="1" customWidth="1"/>
    <col min="4" max="5" width="13" customWidth="1"/>
    <col min="6" max="6" width="7.28515625" bestFit="1" customWidth="1"/>
    <col min="7" max="7" width="22.140625" customWidth="1"/>
    <col min="8" max="8" width="13.5703125" customWidth="1"/>
  </cols>
  <sheetData>
    <row r="1" spans="2:9" ht="27.75" customHeight="1" x14ac:dyDescent="0.25">
      <c r="B1" s="37" t="s">
        <v>26</v>
      </c>
      <c r="C1" s="37"/>
      <c r="D1" s="37"/>
      <c r="E1" s="37"/>
      <c r="F1" s="37"/>
      <c r="G1" s="37"/>
      <c r="H1" s="37"/>
      <c r="I1" s="37"/>
    </row>
    <row r="2" spans="2:9" ht="21.75" customHeight="1" x14ac:dyDescent="0.25">
      <c r="B2" s="7" t="s">
        <v>27</v>
      </c>
      <c r="C2" s="7" t="s">
        <v>28</v>
      </c>
      <c r="D2" s="8" t="s">
        <v>29</v>
      </c>
      <c r="E2" s="8" t="s">
        <v>30</v>
      </c>
      <c r="F2" s="8" t="s">
        <v>31</v>
      </c>
      <c r="G2" s="9" t="s">
        <v>32</v>
      </c>
      <c r="H2" s="9" t="s">
        <v>33</v>
      </c>
    </row>
    <row r="3" spans="2:9" ht="15.75" customHeight="1" x14ac:dyDescent="0.25">
      <c r="G3" s="45" t="s">
        <v>34</v>
      </c>
      <c r="H3" s="45"/>
    </row>
    <row r="4" spans="2:9" ht="18" customHeight="1" x14ac:dyDescent="0.25">
      <c r="B4" s="38" t="s">
        <v>35</v>
      </c>
      <c r="C4" s="38"/>
      <c r="D4" s="38"/>
      <c r="E4" s="38"/>
      <c r="F4" s="38"/>
      <c r="G4" s="38"/>
      <c r="H4" s="38"/>
    </row>
    <row r="5" spans="2:9" ht="18" customHeight="1" x14ac:dyDescent="0.25">
      <c r="B5" s="10" t="s">
        <v>36</v>
      </c>
      <c r="C5" s="11" t="s">
        <v>37</v>
      </c>
      <c r="D5" s="12">
        <v>1100</v>
      </c>
      <c r="E5" s="12">
        <v>1820</v>
      </c>
      <c r="F5" s="12">
        <v>2400</v>
      </c>
      <c r="G5" s="13">
        <v>3160</v>
      </c>
      <c r="H5" s="13">
        <v>4162</v>
      </c>
    </row>
    <row r="6" spans="2:9" ht="18" customHeight="1" x14ac:dyDescent="0.25">
      <c r="B6" s="10" t="s">
        <v>38</v>
      </c>
      <c r="C6" s="11" t="s">
        <v>39</v>
      </c>
      <c r="D6" s="12">
        <v>820</v>
      </c>
      <c r="E6" s="12">
        <v>740</v>
      </c>
      <c r="F6" s="12">
        <v>980</v>
      </c>
      <c r="G6" s="13">
        <v>1282</v>
      </c>
      <c r="H6" s="13">
        <v>1319</v>
      </c>
    </row>
    <row r="7" spans="2:9" ht="18" customHeight="1" x14ac:dyDescent="0.25">
      <c r="B7" s="10" t="s">
        <v>40</v>
      </c>
      <c r="C7" s="11" t="s">
        <v>41</v>
      </c>
      <c r="D7" s="12">
        <v>-100</v>
      </c>
      <c r="E7" s="12">
        <v>-160</v>
      </c>
      <c r="F7" s="12">
        <v>-220</v>
      </c>
      <c r="G7" s="13">
        <v>-280</v>
      </c>
      <c r="H7" s="13">
        <v>-340</v>
      </c>
    </row>
    <row r="8" spans="2:9" ht="18" customHeight="1" x14ac:dyDescent="0.25">
      <c r="B8" s="14" t="s">
        <v>42</v>
      </c>
      <c r="C8" s="11" t="s">
        <v>43</v>
      </c>
      <c r="D8" s="15">
        <f>D5+D6+D7</f>
        <v>1820</v>
      </c>
      <c r="E8" s="15">
        <f>E5+E6+E7</f>
        <v>2400</v>
      </c>
      <c r="F8" s="15">
        <f>F5+F6+F7</f>
        <v>3160</v>
      </c>
      <c r="G8" s="16">
        <f>G5+G6+G7</f>
        <v>4162</v>
      </c>
      <c r="H8" s="16">
        <f>H5+H6+H7</f>
        <v>5141</v>
      </c>
    </row>
    <row r="9" spans="2:9" ht="18" customHeight="1" x14ac:dyDescent="0.25">
      <c r="B9" s="14" t="s">
        <v>44</v>
      </c>
      <c r="C9" s="11" t="s">
        <v>45</v>
      </c>
      <c r="D9" s="17" t="s">
        <v>46</v>
      </c>
      <c r="E9" s="17">
        <f>IFERROR((E8-D8)/D8,"-")</f>
        <v>0.31868131868131866</v>
      </c>
      <c r="F9" s="17">
        <f>IFERROR((F8-E8)/E8,"-")</f>
        <v>0.31666666666666665</v>
      </c>
      <c r="G9" s="18">
        <f>IFERROR((G8-F8)/F8,"-")</f>
        <v>0.31708860759493673</v>
      </c>
      <c r="H9" s="18">
        <f>IFERROR((H8-G8)/G8,"-")</f>
        <v>0.235223450264296</v>
      </c>
    </row>
    <row r="10" spans="2:9" ht="18" customHeight="1" x14ac:dyDescent="0.25">
      <c r="B10" s="10" t="s">
        <v>47</v>
      </c>
      <c r="C10" s="11" t="s">
        <v>48</v>
      </c>
      <c r="D10" s="19">
        <v>48</v>
      </c>
      <c r="E10" s="19">
        <v>71</v>
      </c>
      <c r="F10" s="19">
        <v>95</v>
      </c>
      <c r="G10" s="20">
        <v>119</v>
      </c>
      <c r="H10" s="20">
        <v>143</v>
      </c>
    </row>
    <row r="11" spans="2:9" ht="18" customHeight="1" x14ac:dyDescent="0.25">
      <c r="B11" s="14" t="s">
        <v>49</v>
      </c>
      <c r="C11" s="11" t="s">
        <v>50</v>
      </c>
      <c r="D11" s="15">
        <f>IFERROR(D8/D10,"-")</f>
        <v>37.916666666666664</v>
      </c>
      <c r="E11" s="15">
        <f>IFERROR(E8/E10,"-")</f>
        <v>33.802816901408448</v>
      </c>
      <c r="F11" s="15">
        <f>IFERROR(F8/F10,"-")</f>
        <v>33.263157894736842</v>
      </c>
      <c r="G11" s="16">
        <f>IFERROR(G8/G10,"-")</f>
        <v>34.974789915966383</v>
      </c>
      <c r="H11" s="16">
        <f>IFERROR(H8/H10,"-")</f>
        <v>35.951048951048953</v>
      </c>
    </row>
    <row r="12" spans="2:9" ht="18" customHeight="1" x14ac:dyDescent="0.25">
      <c r="B12" s="10" t="s">
        <v>51</v>
      </c>
      <c r="C12" s="11" t="s">
        <v>52</v>
      </c>
      <c r="D12" s="21">
        <v>7.0000000000000001E-3</v>
      </c>
      <c r="E12" s="21">
        <v>8.9999999999999993E-3</v>
      </c>
      <c r="F12" s="21">
        <v>8.0000000000000002E-3</v>
      </c>
      <c r="G12" s="22">
        <v>8.0000000000000002E-3</v>
      </c>
      <c r="H12" s="22">
        <v>8.0000000000000002E-3</v>
      </c>
    </row>
    <row r="13" spans="2:9" ht="18" customHeight="1" x14ac:dyDescent="0.25">
      <c r="B13" s="38" t="s">
        <v>53</v>
      </c>
      <c r="C13" s="38"/>
      <c r="D13" s="38"/>
      <c r="E13" s="38"/>
      <c r="F13" s="38"/>
      <c r="G13" s="38"/>
      <c r="H13" s="38"/>
    </row>
    <row r="14" spans="2:9" ht="18" customHeight="1" x14ac:dyDescent="0.25">
      <c r="B14" s="10" t="s">
        <v>54</v>
      </c>
      <c r="C14" s="11" t="s">
        <v>55</v>
      </c>
      <c r="D14" s="21">
        <v>0.68</v>
      </c>
      <c r="E14" s="21">
        <v>0.7</v>
      </c>
      <c r="F14" s="21">
        <v>0.72</v>
      </c>
      <c r="G14" s="22">
        <v>0.74</v>
      </c>
      <c r="H14" s="22">
        <v>0.76</v>
      </c>
    </row>
    <row r="15" spans="2:9" ht="18" customHeight="1" x14ac:dyDescent="0.25">
      <c r="B15" s="38" t="s">
        <v>56</v>
      </c>
      <c r="C15" s="38"/>
      <c r="D15" s="38"/>
      <c r="E15" s="38"/>
      <c r="F15" s="38"/>
      <c r="G15" s="38"/>
      <c r="H15" s="38"/>
    </row>
    <row r="16" spans="2:9" ht="18" customHeight="1" x14ac:dyDescent="0.25">
      <c r="B16" s="10" t="s">
        <v>57</v>
      </c>
      <c r="C16" s="11" t="s">
        <v>58</v>
      </c>
      <c r="D16" s="21">
        <v>0.42</v>
      </c>
      <c r="E16" s="21">
        <v>0.38</v>
      </c>
      <c r="F16" s="21">
        <v>0.35</v>
      </c>
      <c r="G16" s="22">
        <v>0.32</v>
      </c>
      <c r="H16" s="22">
        <v>0.28999999999999998</v>
      </c>
    </row>
    <row r="17" spans="2:8" ht="18" customHeight="1" x14ac:dyDescent="0.25">
      <c r="B17" s="10" t="s">
        <v>59</v>
      </c>
      <c r="C17" s="11" t="s">
        <v>60</v>
      </c>
      <c r="D17" s="21">
        <v>0.55000000000000004</v>
      </c>
      <c r="E17" s="21">
        <v>0.52</v>
      </c>
      <c r="F17" s="21">
        <v>0.48</v>
      </c>
      <c r="G17" s="22">
        <v>0.44</v>
      </c>
      <c r="H17" s="22">
        <v>0.4</v>
      </c>
    </row>
    <row r="18" spans="2:8" ht="18" customHeight="1" x14ac:dyDescent="0.25">
      <c r="B18" s="10" t="s">
        <v>61</v>
      </c>
      <c r="C18" s="11" t="s">
        <v>62</v>
      </c>
      <c r="D18" s="21">
        <v>0.18</v>
      </c>
      <c r="E18" s="21">
        <v>0.16</v>
      </c>
      <c r="F18" s="21">
        <v>0.15</v>
      </c>
      <c r="G18" s="22">
        <v>0.14000000000000001</v>
      </c>
      <c r="H18" s="22">
        <v>0.13</v>
      </c>
    </row>
    <row r="19" spans="2:8" ht="18" customHeight="1" x14ac:dyDescent="0.25">
      <c r="B19" s="38" t="s">
        <v>63</v>
      </c>
      <c r="C19" s="38"/>
      <c r="D19" s="38"/>
      <c r="E19" s="38"/>
      <c r="F19" s="38"/>
      <c r="G19" s="38"/>
      <c r="H19" s="38"/>
    </row>
    <row r="20" spans="2:8" ht="18" customHeight="1" x14ac:dyDescent="0.25">
      <c r="B20" s="10" t="s">
        <v>64</v>
      </c>
      <c r="C20" s="11" t="s">
        <v>65</v>
      </c>
      <c r="D20" s="19">
        <v>18</v>
      </c>
      <c r="E20" s="19">
        <v>26</v>
      </c>
      <c r="F20" s="19">
        <v>34</v>
      </c>
      <c r="G20" s="20">
        <v>42</v>
      </c>
      <c r="H20" s="20">
        <v>50</v>
      </c>
    </row>
    <row r="21" spans="2:8" ht="18" customHeight="1" x14ac:dyDescent="0.25">
      <c r="B21" s="10" t="s">
        <v>66</v>
      </c>
      <c r="C21" s="11" t="s">
        <v>67</v>
      </c>
      <c r="D21" s="12">
        <v>95</v>
      </c>
      <c r="E21" s="12">
        <v>98</v>
      </c>
      <c r="F21" s="12">
        <v>102</v>
      </c>
      <c r="G21" s="13">
        <v>107</v>
      </c>
      <c r="H21" s="13">
        <v>113</v>
      </c>
    </row>
    <row r="22" spans="2:8" ht="18" customHeight="1" x14ac:dyDescent="0.25">
      <c r="B22" s="14" t="s">
        <v>68</v>
      </c>
      <c r="C22" s="11" t="s">
        <v>69</v>
      </c>
      <c r="D22" s="15">
        <f>D20*D21</f>
        <v>1710</v>
      </c>
      <c r="E22" s="15">
        <f>E20*E21</f>
        <v>2548</v>
      </c>
      <c r="F22" s="15">
        <f>F20*F21</f>
        <v>3468</v>
      </c>
      <c r="G22" s="16">
        <f>G20*G21</f>
        <v>4494</v>
      </c>
      <c r="H22" s="16">
        <f>H20*H21</f>
        <v>5650</v>
      </c>
    </row>
    <row r="23" spans="2:8" ht="18" customHeight="1" x14ac:dyDescent="0.25">
      <c r="B23" s="38" t="s">
        <v>70</v>
      </c>
      <c r="C23" s="38"/>
      <c r="D23" s="38"/>
      <c r="E23" s="38"/>
      <c r="F23" s="38"/>
      <c r="G23" s="38"/>
      <c r="H23" s="38"/>
    </row>
    <row r="24" spans="2:8" ht="18" customHeight="1" x14ac:dyDescent="0.25">
      <c r="B24" s="10" t="s">
        <v>71</v>
      </c>
      <c r="C24" s="11" t="s">
        <v>72</v>
      </c>
      <c r="D24" s="12">
        <v>18</v>
      </c>
      <c r="E24" s="12">
        <v>16</v>
      </c>
      <c r="F24" s="12">
        <v>14</v>
      </c>
      <c r="G24" s="13">
        <v>12</v>
      </c>
      <c r="H24" s="13">
        <v>10</v>
      </c>
    </row>
    <row r="25" spans="2:8" ht="18" customHeight="1" x14ac:dyDescent="0.25">
      <c r="B25" s="10" t="s">
        <v>73</v>
      </c>
      <c r="C25" s="11" t="s">
        <v>74</v>
      </c>
      <c r="D25" s="12">
        <v>85</v>
      </c>
      <c r="E25" s="12">
        <v>92</v>
      </c>
      <c r="F25" s="12">
        <v>105</v>
      </c>
      <c r="G25" s="13">
        <v>118</v>
      </c>
      <c r="H25" s="13">
        <v>131</v>
      </c>
    </row>
    <row r="26" spans="2:8" ht="18" customHeight="1" x14ac:dyDescent="0.25">
      <c r="B26" s="14" t="s">
        <v>75</v>
      </c>
      <c r="C26" s="11" t="s">
        <v>76</v>
      </c>
      <c r="D26" s="23">
        <f>IFERROR(D25/D24,"-")</f>
        <v>4.7222222222222223</v>
      </c>
      <c r="E26" s="23">
        <f>IFERROR(E25/E24,"-")</f>
        <v>5.75</v>
      </c>
      <c r="F26" s="23">
        <f>IFERROR(F25/F24,"-")</f>
        <v>7.5</v>
      </c>
      <c r="G26" s="24">
        <f>IFERROR(G25/G24,"-")</f>
        <v>9.8333333333333339</v>
      </c>
      <c r="H26" s="24">
        <f>IFERROR(H25/H24,"-")</f>
        <v>13.1</v>
      </c>
    </row>
    <row r="27" spans="2:8" ht="18" customHeight="1" x14ac:dyDescent="0.25">
      <c r="B27" s="10" t="s">
        <v>77</v>
      </c>
      <c r="C27" s="11" t="s">
        <v>78</v>
      </c>
      <c r="D27" s="19">
        <v>14</v>
      </c>
      <c r="E27" s="19">
        <v>12</v>
      </c>
      <c r="F27" s="19">
        <v>11</v>
      </c>
      <c r="G27" s="20">
        <v>10</v>
      </c>
      <c r="H27" s="20">
        <v>9</v>
      </c>
    </row>
    <row r="28" spans="2:8" ht="18" customHeight="1" x14ac:dyDescent="0.25">
      <c r="B28" s="38" t="s">
        <v>79</v>
      </c>
      <c r="C28" s="38"/>
      <c r="D28" s="38"/>
      <c r="E28" s="38"/>
      <c r="F28" s="38"/>
      <c r="G28" s="38"/>
      <c r="H28" s="38"/>
    </row>
    <row r="29" spans="2:8" ht="18" customHeight="1" x14ac:dyDescent="0.25">
      <c r="B29" s="10" t="s">
        <v>80</v>
      </c>
      <c r="C29" s="11" t="s">
        <v>81</v>
      </c>
      <c r="D29" s="12">
        <v>1200</v>
      </c>
      <c r="E29" s="12">
        <v>820</v>
      </c>
      <c r="F29" s="12">
        <v>610</v>
      </c>
      <c r="G29" s="13">
        <v>1245</v>
      </c>
      <c r="H29" s="13">
        <v>2753</v>
      </c>
    </row>
    <row r="30" spans="2:8" ht="18" customHeight="1" x14ac:dyDescent="0.25">
      <c r="B30" s="10" t="s">
        <v>82</v>
      </c>
      <c r="C30" s="11" t="s">
        <v>83</v>
      </c>
      <c r="D30" s="21">
        <v>0.05</v>
      </c>
      <c r="E30" s="21">
        <v>0.04</v>
      </c>
      <c r="F30" s="21">
        <v>0.04</v>
      </c>
      <c r="G30" s="22">
        <v>0.04</v>
      </c>
      <c r="H30" s="22">
        <v>0.04</v>
      </c>
    </row>
    <row r="31" spans="2:8" ht="18" customHeight="1" x14ac:dyDescent="0.25">
      <c r="B31" s="10" t="s">
        <v>84</v>
      </c>
      <c r="C31" s="11" t="s">
        <v>85</v>
      </c>
      <c r="D31" s="19">
        <v>35</v>
      </c>
      <c r="E31" s="19">
        <v>32</v>
      </c>
      <c r="F31" s="19">
        <v>30</v>
      </c>
      <c r="G31" s="20">
        <v>28</v>
      </c>
      <c r="H31" s="20">
        <v>26</v>
      </c>
    </row>
    <row r="32" spans="2:8" ht="18" customHeight="1" x14ac:dyDescent="0.25">
      <c r="B32" s="10" t="s">
        <v>86</v>
      </c>
      <c r="C32" s="11" t="s">
        <v>87</v>
      </c>
      <c r="D32" s="12">
        <v>2000</v>
      </c>
      <c r="E32" s="12">
        <v>0</v>
      </c>
      <c r="F32" s="12">
        <v>3500</v>
      </c>
      <c r="G32" s="13">
        <v>0</v>
      </c>
      <c r="H32" s="13">
        <v>5000</v>
      </c>
    </row>
  </sheetData>
  <mergeCells count="8">
    <mergeCell ref="B19:H19"/>
    <mergeCell ref="B23:H23"/>
    <mergeCell ref="B28:H28"/>
    <mergeCell ref="B1:I1"/>
    <mergeCell ref="G3:H3"/>
    <mergeCell ref="B4:H4"/>
    <mergeCell ref="B13:H13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5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5" sqref="F15"/>
    </sheetView>
  </sheetViews>
  <sheetFormatPr defaultColWidth="8.7109375" defaultRowHeight="15" x14ac:dyDescent="0.25"/>
  <cols>
    <col min="1" max="1" width="4" customWidth="1"/>
    <col min="2" max="2" width="32.42578125" customWidth="1"/>
    <col min="3" max="5" width="14" customWidth="1"/>
    <col min="6" max="6" width="25" customWidth="1"/>
    <col min="7" max="7" width="14" customWidth="1"/>
  </cols>
  <sheetData>
    <row r="1" spans="2:8" ht="27.75" customHeight="1" x14ac:dyDescent="0.25">
      <c r="B1" s="37" t="s">
        <v>88</v>
      </c>
      <c r="C1" s="37"/>
      <c r="D1" s="37"/>
      <c r="E1" s="37"/>
      <c r="F1" s="37"/>
      <c r="G1" s="37"/>
      <c r="H1" s="37"/>
    </row>
    <row r="2" spans="2:8" ht="21.75" customHeight="1" x14ac:dyDescent="0.25">
      <c r="B2" s="25" t="s">
        <v>89</v>
      </c>
      <c r="C2" s="8" t="s">
        <v>29</v>
      </c>
      <c r="D2" s="8" t="s">
        <v>30</v>
      </c>
      <c r="E2" s="8" t="s">
        <v>31</v>
      </c>
      <c r="F2" s="9" t="s">
        <v>32</v>
      </c>
      <c r="G2" s="9" t="s">
        <v>33</v>
      </c>
    </row>
    <row r="3" spans="2:8" ht="15.75" customHeight="1" x14ac:dyDescent="0.25">
      <c r="F3" s="45" t="s">
        <v>90</v>
      </c>
      <c r="G3" s="45"/>
    </row>
    <row r="4" spans="2:8" ht="18" customHeight="1" x14ac:dyDescent="0.25">
      <c r="B4" s="26" t="s">
        <v>91</v>
      </c>
      <c r="C4" s="12">
        <v>1640</v>
      </c>
      <c r="D4" s="12">
        <v>2380</v>
      </c>
      <c r="E4" s="12">
        <v>3290</v>
      </c>
      <c r="F4" s="13">
        <f>(3160+4162)/2</f>
        <v>3661</v>
      </c>
      <c r="G4" s="13">
        <f>(4162+5141)/2</f>
        <v>4651.5</v>
      </c>
    </row>
    <row r="5" spans="2:8" ht="18" customHeight="1" x14ac:dyDescent="0.25">
      <c r="B5" s="38" t="s">
        <v>92</v>
      </c>
      <c r="C5" s="38"/>
      <c r="D5" s="38"/>
      <c r="E5" s="38"/>
      <c r="F5" s="38"/>
      <c r="G5" s="38"/>
    </row>
    <row r="6" spans="2:8" ht="18" customHeight="1" x14ac:dyDescent="0.25">
      <c r="B6" s="26" t="s">
        <v>93</v>
      </c>
      <c r="C6" s="12">
        <v>525</v>
      </c>
      <c r="D6" s="12">
        <v>714</v>
      </c>
      <c r="E6" s="12">
        <v>921</v>
      </c>
      <c r="F6" s="13">
        <f>F4*0.26</f>
        <v>951.86</v>
      </c>
      <c r="G6" s="13">
        <f>G4*0.24</f>
        <v>1116.3599999999999</v>
      </c>
    </row>
    <row r="7" spans="2:8" ht="18" customHeight="1" x14ac:dyDescent="0.25">
      <c r="B7" s="27" t="s">
        <v>94</v>
      </c>
      <c r="C7" s="28">
        <v>1115</v>
      </c>
      <c r="D7" s="28">
        <v>1666</v>
      </c>
      <c r="E7" s="28">
        <v>2369</v>
      </c>
      <c r="F7" s="29">
        <f>F4-F6</f>
        <v>2709.14</v>
      </c>
      <c r="G7" s="29">
        <f>G4-G6</f>
        <v>3535.1400000000003</v>
      </c>
    </row>
    <row r="8" spans="2:8" ht="18" customHeight="1" x14ac:dyDescent="0.25">
      <c r="B8" s="38" t="s">
        <v>56</v>
      </c>
      <c r="C8" s="38"/>
      <c r="D8" s="38"/>
      <c r="E8" s="38"/>
      <c r="F8" s="38"/>
      <c r="G8" s="38"/>
    </row>
    <row r="9" spans="2:8" ht="18" customHeight="1" x14ac:dyDescent="0.25">
      <c r="B9" s="26" t="s">
        <v>95</v>
      </c>
      <c r="C9" s="12">
        <v>689</v>
      </c>
      <c r="D9" s="12">
        <v>904</v>
      </c>
      <c r="E9" s="12">
        <v>1152</v>
      </c>
      <c r="F9" s="13">
        <f>F4*0.32</f>
        <v>1171.52</v>
      </c>
      <c r="G9" s="13">
        <f>G4*0.29</f>
        <v>1348.9349999999999</v>
      </c>
    </row>
    <row r="10" spans="2:8" ht="18" customHeight="1" x14ac:dyDescent="0.25">
      <c r="B10" s="26" t="s">
        <v>96</v>
      </c>
      <c r="C10" s="12">
        <v>902</v>
      </c>
      <c r="D10" s="12">
        <v>1238</v>
      </c>
      <c r="E10" s="12">
        <v>1579</v>
      </c>
      <c r="F10" s="13">
        <f>F4*0.44</f>
        <v>1610.84</v>
      </c>
      <c r="G10" s="13">
        <f>G4*0.4</f>
        <v>1860.6000000000001</v>
      </c>
    </row>
    <row r="11" spans="2:8" ht="18" customHeight="1" x14ac:dyDescent="0.25">
      <c r="B11" s="26" t="s">
        <v>97</v>
      </c>
      <c r="C11" s="12">
        <v>295</v>
      </c>
      <c r="D11" s="12">
        <v>381</v>
      </c>
      <c r="E11" s="12">
        <v>494</v>
      </c>
      <c r="F11" s="13">
        <f>F4*0.14</f>
        <v>512.54000000000008</v>
      </c>
      <c r="G11" s="13">
        <f>G4*0.13</f>
        <v>604.69500000000005</v>
      </c>
    </row>
    <row r="12" spans="2:8" ht="18" customHeight="1" x14ac:dyDescent="0.25">
      <c r="B12" s="27" t="s">
        <v>98</v>
      </c>
      <c r="C12" s="28">
        <v>1886</v>
      </c>
      <c r="D12" s="28">
        <v>2523</v>
      </c>
      <c r="E12" s="28">
        <v>3225</v>
      </c>
      <c r="F12" s="29">
        <f>F9+F10+F11</f>
        <v>3294.8999999999996</v>
      </c>
      <c r="G12" s="29">
        <f>G9+G10+G11</f>
        <v>3814.23</v>
      </c>
    </row>
    <row r="13" spans="2:8" ht="18" customHeight="1" x14ac:dyDescent="0.25">
      <c r="B13" s="27" t="s">
        <v>99</v>
      </c>
      <c r="C13" s="28">
        <v>-771</v>
      </c>
      <c r="D13" s="28">
        <v>-857</v>
      </c>
      <c r="E13" s="28">
        <v>-856</v>
      </c>
      <c r="F13" s="29">
        <f>F7-F12</f>
        <v>-585.75999999999976</v>
      </c>
      <c r="G13" s="29">
        <f>G7-G12</f>
        <v>-279.08999999999969</v>
      </c>
    </row>
    <row r="14" spans="2:8" ht="18" customHeight="1" x14ac:dyDescent="0.25">
      <c r="B14" s="38" t="s">
        <v>100</v>
      </c>
      <c r="C14" s="38"/>
      <c r="D14" s="38"/>
      <c r="E14" s="38"/>
      <c r="F14" s="38"/>
      <c r="G14" s="38"/>
    </row>
    <row r="15" spans="2:8" ht="18" customHeight="1" x14ac:dyDescent="0.25">
      <c r="B15" s="26" t="s">
        <v>101</v>
      </c>
      <c r="C15" s="12">
        <v>45</v>
      </c>
      <c r="D15" s="12">
        <v>62</v>
      </c>
      <c r="E15" s="12">
        <v>78</v>
      </c>
      <c r="F15" s="13">
        <v>94</v>
      </c>
      <c r="G15" s="13">
        <v>110</v>
      </c>
    </row>
    <row r="16" spans="2:8" ht="18" customHeight="1" x14ac:dyDescent="0.25">
      <c r="B16" s="27" t="s">
        <v>102</v>
      </c>
      <c r="C16" s="28">
        <v>-816</v>
      </c>
      <c r="D16" s="28">
        <v>-919</v>
      </c>
      <c r="E16" s="28">
        <v>-934</v>
      </c>
      <c r="F16" s="29">
        <f>F13-F15</f>
        <v>-679.75999999999976</v>
      </c>
      <c r="G16" s="29">
        <f>G13-G15</f>
        <v>-389.08999999999969</v>
      </c>
    </row>
    <row r="17" spans="2:7" ht="18" customHeight="1" x14ac:dyDescent="0.25">
      <c r="B17" s="26" t="s">
        <v>103</v>
      </c>
      <c r="C17" s="12">
        <v>18</v>
      </c>
      <c r="D17" s="12">
        <v>12</v>
      </c>
      <c r="E17" s="12">
        <v>8</v>
      </c>
      <c r="F17" s="13">
        <v>5</v>
      </c>
      <c r="G17" s="13">
        <v>3</v>
      </c>
    </row>
    <row r="18" spans="2:7" ht="18" customHeight="1" x14ac:dyDescent="0.25">
      <c r="B18" s="26" t="s">
        <v>104</v>
      </c>
      <c r="C18" s="12">
        <v>0</v>
      </c>
      <c r="D18" s="12">
        <v>0</v>
      </c>
      <c r="E18" s="12">
        <v>0</v>
      </c>
      <c r="F18" s="13">
        <v>0</v>
      </c>
      <c r="G18" s="13">
        <v>0</v>
      </c>
    </row>
    <row r="19" spans="2:7" ht="18" customHeight="1" x14ac:dyDescent="0.25">
      <c r="B19" s="27" t="s">
        <v>105</v>
      </c>
      <c r="C19" s="28">
        <v>-798</v>
      </c>
      <c r="D19" s="28">
        <v>-907</v>
      </c>
      <c r="E19" s="28">
        <v>-926</v>
      </c>
      <c r="F19" s="29">
        <f>F16+F17+F18</f>
        <v>-674.75999999999976</v>
      </c>
      <c r="G19" s="29">
        <f>G16+G17+G18</f>
        <v>-386.08999999999969</v>
      </c>
    </row>
    <row r="20" spans="2:7" ht="18" customHeight="1" x14ac:dyDescent="0.25">
      <c r="B20" s="26" t="s">
        <v>106</v>
      </c>
      <c r="C20" s="12">
        <v>0</v>
      </c>
      <c r="D20" s="12">
        <v>0</v>
      </c>
      <c r="E20" s="12">
        <v>0</v>
      </c>
      <c r="F20" s="13">
        <v>0</v>
      </c>
      <c r="G20" s="13">
        <v>0</v>
      </c>
    </row>
    <row r="21" spans="2:7" ht="18" customHeight="1" x14ac:dyDescent="0.25">
      <c r="B21" s="27" t="s">
        <v>107</v>
      </c>
      <c r="C21" s="28">
        <v>-798</v>
      </c>
      <c r="D21" s="28">
        <v>-907</v>
      </c>
      <c r="E21" s="28">
        <v>-926</v>
      </c>
      <c r="F21" s="29">
        <f>F19-F20</f>
        <v>-674.75999999999976</v>
      </c>
      <c r="G21" s="29">
        <f>G19-G20</f>
        <v>-386.08999999999969</v>
      </c>
    </row>
    <row r="22" spans="2:7" ht="15" customHeight="1" x14ac:dyDescent="0.25">
      <c r="B22" s="38" t="s">
        <v>108</v>
      </c>
      <c r="C22" s="38"/>
      <c r="D22" s="38"/>
      <c r="E22" s="38"/>
      <c r="F22" s="38"/>
      <c r="G22" s="38"/>
    </row>
    <row r="23" spans="2:7" ht="18" customHeight="1" x14ac:dyDescent="0.25">
      <c r="B23" s="30" t="s">
        <v>109</v>
      </c>
      <c r="C23" s="31">
        <f>IFERROR(C7/C4,"-")</f>
        <v>0.67987804878048785</v>
      </c>
      <c r="D23" s="31">
        <f>IFERROR(D7/D4,"-")</f>
        <v>0.7</v>
      </c>
      <c r="E23" s="31">
        <f>IFERROR(E7/E4,"-")</f>
        <v>0.72006079027355618</v>
      </c>
      <c r="F23" s="18">
        <f>IFERROR(F7/F4,"-")</f>
        <v>0.74</v>
      </c>
      <c r="G23" s="18">
        <f>IFERROR(G7/G4,"-")</f>
        <v>0.76000000000000012</v>
      </c>
    </row>
    <row r="24" spans="2:7" ht="18" customHeight="1" x14ac:dyDescent="0.25">
      <c r="B24" s="30" t="s">
        <v>110</v>
      </c>
      <c r="C24" s="31">
        <f>IFERROR(C13/C4,"-")</f>
        <v>-0.47012195121951217</v>
      </c>
      <c r="D24" s="31">
        <f>IFERROR(D13/D4,"-")</f>
        <v>-0.36008403361344538</v>
      </c>
      <c r="E24" s="31">
        <f>IFERROR(E13/E4,"-")</f>
        <v>-0.2601823708206687</v>
      </c>
      <c r="F24" s="18">
        <f>IFERROR(F13/F4,"-")</f>
        <v>-0.15999999999999995</v>
      </c>
      <c r="G24" s="18">
        <f>IFERROR(G13/G4,"-")</f>
        <v>-5.9999999999999935E-2</v>
      </c>
    </row>
    <row r="25" spans="2:7" ht="18" customHeight="1" x14ac:dyDescent="0.25">
      <c r="B25" s="30" t="s">
        <v>111</v>
      </c>
      <c r="C25" s="31">
        <f>IFERROR(C21/C4,"-")</f>
        <v>-0.48658536585365852</v>
      </c>
      <c r="D25" s="31">
        <f>IFERROR(D21/D4,"-")</f>
        <v>-0.38109243697478989</v>
      </c>
      <c r="E25" s="31">
        <f>IFERROR(E21/E4,"-")</f>
        <v>-0.28145896656534952</v>
      </c>
      <c r="F25" s="18">
        <f>IFERROR(F21/F4,"-")</f>
        <v>-0.18431029773285981</v>
      </c>
      <c r="G25" s="18">
        <f>IFERROR(G21/G4,"-")</f>
        <v>-8.3003332258411194E-2</v>
      </c>
    </row>
  </sheetData>
  <mergeCells count="6">
    <mergeCell ref="B22:G22"/>
    <mergeCell ref="B1:H1"/>
    <mergeCell ref="F3:G3"/>
    <mergeCell ref="B5:G5"/>
    <mergeCell ref="B8:G8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2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2" sqref="C32"/>
    </sheetView>
  </sheetViews>
  <sheetFormatPr defaultColWidth="8.7109375" defaultRowHeight="15" x14ac:dyDescent="0.25"/>
  <cols>
    <col min="1" max="1" width="4" customWidth="1"/>
    <col min="2" max="2" width="23.42578125" bestFit="1" customWidth="1"/>
    <col min="3" max="7" width="14" customWidth="1"/>
  </cols>
  <sheetData>
    <row r="1" spans="2:8" ht="27.75" customHeight="1" x14ac:dyDescent="0.25">
      <c r="B1" s="37" t="s">
        <v>112</v>
      </c>
      <c r="C1" s="37"/>
      <c r="D1" s="37"/>
      <c r="E1" s="37"/>
      <c r="F1" s="37"/>
      <c r="G1" s="37"/>
      <c r="H1" s="37"/>
    </row>
    <row r="2" spans="2:8" ht="21.75" customHeight="1" x14ac:dyDescent="0.25">
      <c r="B2" s="25" t="s">
        <v>113</v>
      </c>
      <c r="C2" s="8" t="s">
        <v>29</v>
      </c>
      <c r="D2" s="8" t="s">
        <v>30</v>
      </c>
      <c r="E2" s="8" t="s">
        <v>31</v>
      </c>
      <c r="F2" s="9" t="s">
        <v>32</v>
      </c>
      <c r="G2" s="9" t="s">
        <v>33</v>
      </c>
    </row>
    <row r="3" spans="2:8" ht="18" customHeight="1" x14ac:dyDescent="0.25">
      <c r="B3" s="38" t="s">
        <v>114</v>
      </c>
      <c r="C3" s="38"/>
      <c r="D3" s="38"/>
      <c r="E3" s="38"/>
      <c r="F3" s="38"/>
      <c r="G3" s="38"/>
    </row>
    <row r="4" spans="2:8" ht="18" customHeight="1" x14ac:dyDescent="0.25">
      <c r="B4" s="26" t="s">
        <v>115</v>
      </c>
      <c r="C4" s="32">
        <v>820</v>
      </c>
      <c r="D4" s="32">
        <v>610</v>
      </c>
      <c r="E4" s="32">
        <v>1245</v>
      </c>
      <c r="F4" s="13">
        <v>2753</v>
      </c>
      <c r="G4" s="13">
        <v>7007</v>
      </c>
    </row>
    <row r="5" spans="2:8" ht="18" customHeight="1" x14ac:dyDescent="0.25">
      <c r="B5" s="26" t="s">
        <v>116</v>
      </c>
      <c r="C5" s="32">
        <v>157</v>
      </c>
      <c r="D5" s="32">
        <v>208</v>
      </c>
      <c r="E5" s="32">
        <v>271</v>
      </c>
      <c r="F5" s="13">
        <f>3661*(28/365)</f>
        <v>280.84383561643835</v>
      </c>
      <c r="G5" s="13">
        <f>4652*(26/365)</f>
        <v>331.37534246575342</v>
      </c>
    </row>
    <row r="6" spans="2:8" ht="18" customHeight="1" x14ac:dyDescent="0.25">
      <c r="B6" s="26" t="s">
        <v>117</v>
      </c>
      <c r="C6" s="32">
        <v>45</v>
      </c>
      <c r="D6" s="32">
        <v>62</v>
      </c>
      <c r="E6" s="32">
        <v>88</v>
      </c>
      <c r="F6" s="13">
        <v>112</v>
      </c>
      <c r="G6" s="13">
        <v>138</v>
      </c>
    </row>
    <row r="7" spans="2:8" ht="18" customHeight="1" x14ac:dyDescent="0.25">
      <c r="B7" s="27" t="s">
        <v>118</v>
      </c>
      <c r="C7" s="28">
        <f>C4+C5+C6</f>
        <v>1022</v>
      </c>
      <c r="D7" s="28">
        <f>D4+D5+D6</f>
        <v>880</v>
      </c>
      <c r="E7" s="28">
        <f>E4+E5+E6</f>
        <v>1604</v>
      </c>
      <c r="F7" s="29">
        <f>F4+F5+F6</f>
        <v>3145.8438356164384</v>
      </c>
      <c r="G7" s="29">
        <f>G4+G5+G6</f>
        <v>7476.3753424657534</v>
      </c>
    </row>
    <row r="8" spans="2:8" ht="18" customHeight="1" x14ac:dyDescent="0.25">
      <c r="B8" s="26" t="s">
        <v>119</v>
      </c>
      <c r="C8" s="32">
        <v>112</v>
      </c>
      <c r="D8" s="32">
        <v>168</v>
      </c>
      <c r="E8" s="32">
        <v>198</v>
      </c>
      <c r="F8" s="13">
        <f>198+(3661*0.04)-94</f>
        <v>250.44</v>
      </c>
      <c r="G8" s="13">
        <f>250+(4652*0.04)-110</f>
        <v>326.08000000000004</v>
      </c>
    </row>
    <row r="9" spans="2:8" ht="18" customHeight="1" x14ac:dyDescent="0.25">
      <c r="B9" s="26" t="s">
        <v>120</v>
      </c>
      <c r="C9" s="32">
        <v>180</v>
      </c>
      <c r="D9" s="32">
        <v>245</v>
      </c>
      <c r="E9" s="32">
        <v>310</v>
      </c>
      <c r="F9" s="13">
        <v>375</v>
      </c>
      <c r="G9" s="13">
        <v>440</v>
      </c>
    </row>
    <row r="10" spans="2:8" ht="18" customHeight="1" x14ac:dyDescent="0.25">
      <c r="B10" s="27" t="s">
        <v>121</v>
      </c>
      <c r="C10" s="28">
        <f>C7+C8+C9</f>
        <v>1314</v>
      </c>
      <c r="D10" s="28">
        <f>D7+D8+D9</f>
        <v>1293</v>
      </c>
      <c r="E10" s="28">
        <f>E7+E8+E9</f>
        <v>2112</v>
      </c>
      <c r="F10" s="29">
        <f>F7+F8+F9</f>
        <v>3771.2838356164384</v>
      </c>
      <c r="G10" s="29">
        <f>G7+G8+G9</f>
        <v>8242.4553424657533</v>
      </c>
    </row>
    <row r="11" spans="2:8" ht="18" customHeight="1" x14ac:dyDescent="0.25">
      <c r="B11" s="38" t="s">
        <v>122</v>
      </c>
      <c r="C11" s="38"/>
      <c r="D11" s="38"/>
      <c r="E11" s="38"/>
      <c r="F11" s="38"/>
      <c r="G11" s="38"/>
    </row>
    <row r="12" spans="2:8" ht="18" customHeight="1" x14ac:dyDescent="0.25">
      <c r="B12" s="26" t="s">
        <v>123</v>
      </c>
      <c r="C12" s="32">
        <v>88</v>
      </c>
      <c r="D12" s="32">
        <v>112</v>
      </c>
      <c r="E12" s="32">
        <v>145</v>
      </c>
      <c r="F12" s="13">
        <v>145</v>
      </c>
      <c r="G12" s="13">
        <v>211</v>
      </c>
    </row>
    <row r="13" spans="2:8" ht="18" customHeight="1" x14ac:dyDescent="0.25">
      <c r="B13" s="26" t="s">
        <v>124</v>
      </c>
      <c r="C13" s="32">
        <v>210</v>
      </c>
      <c r="D13" s="32">
        <v>340</v>
      </c>
      <c r="E13" s="32">
        <v>498</v>
      </c>
      <c r="F13" s="13">
        <f>4162*0.15</f>
        <v>624.29999999999995</v>
      </c>
      <c r="G13" s="13">
        <f>5141*0.15</f>
        <v>771.15</v>
      </c>
    </row>
    <row r="14" spans="2:8" ht="18" customHeight="1" x14ac:dyDescent="0.25">
      <c r="B14" s="26" t="s">
        <v>125</v>
      </c>
      <c r="C14" s="32">
        <v>120</v>
      </c>
      <c r="D14" s="32">
        <v>165</v>
      </c>
      <c r="E14" s="32">
        <v>218</v>
      </c>
      <c r="F14" s="13">
        <v>271</v>
      </c>
      <c r="G14" s="13">
        <v>324</v>
      </c>
    </row>
    <row r="15" spans="2:8" ht="18" customHeight="1" x14ac:dyDescent="0.25">
      <c r="B15" s="27" t="s">
        <v>126</v>
      </c>
      <c r="C15" s="28">
        <f>C12+C13+C14</f>
        <v>418</v>
      </c>
      <c r="D15" s="28">
        <f>D12+D13+D14</f>
        <v>617</v>
      </c>
      <c r="E15" s="28">
        <f>E12+E13+E14</f>
        <v>861</v>
      </c>
      <c r="F15" s="29">
        <f>F12+F13+F14</f>
        <v>1040.3</v>
      </c>
      <c r="G15" s="29">
        <f>G12+G13+G14</f>
        <v>1306.1500000000001</v>
      </c>
    </row>
    <row r="16" spans="2:8" ht="18" customHeight="1" x14ac:dyDescent="0.25">
      <c r="B16" s="26" t="s">
        <v>127</v>
      </c>
      <c r="C16" s="32">
        <v>0</v>
      </c>
      <c r="D16" s="32">
        <v>0</v>
      </c>
      <c r="E16" s="32">
        <v>0</v>
      </c>
      <c r="F16" s="13">
        <v>0</v>
      </c>
      <c r="G16" s="13">
        <v>0</v>
      </c>
    </row>
    <row r="17" spans="2:7" ht="18" customHeight="1" x14ac:dyDescent="0.25">
      <c r="B17" s="27" t="s">
        <v>128</v>
      </c>
      <c r="C17" s="28">
        <f>C15+C16</f>
        <v>418</v>
      </c>
      <c r="D17" s="28">
        <f>D15+D16</f>
        <v>617</v>
      </c>
      <c r="E17" s="28">
        <f>E15+E16</f>
        <v>861</v>
      </c>
      <c r="F17" s="29">
        <f>F15+F16</f>
        <v>1040.3</v>
      </c>
      <c r="G17" s="29">
        <f>G15+G16</f>
        <v>1306.1500000000001</v>
      </c>
    </row>
    <row r="18" spans="2:7" ht="18" customHeight="1" x14ac:dyDescent="0.25">
      <c r="B18" s="38" t="s">
        <v>129</v>
      </c>
      <c r="C18" s="38"/>
      <c r="D18" s="38"/>
      <c r="E18" s="38"/>
      <c r="F18" s="38"/>
      <c r="G18" s="38"/>
    </row>
    <row r="19" spans="2:7" ht="18" customHeight="1" x14ac:dyDescent="0.25">
      <c r="B19" s="26" t="s">
        <v>130</v>
      </c>
      <c r="C19" s="32">
        <v>2000</v>
      </c>
      <c r="D19" s="32">
        <v>2000</v>
      </c>
      <c r="E19" s="32">
        <v>5500</v>
      </c>
      <c r="F19" s="13">
        <f>E19+0</f>
        <v>5500</v>
      </c>
      <c r="G19" s="13">
        <f>F19+4500</f>
        <v>10000</v>
      </c>
    </row>
    <row r="20" spans="2:7" ht="18" customHeight="1" x14ac:dyDescent="0.25">
      <c r="B20" s="26" t="s">
        <v>131</v>
      </c>
      <c r="C20" s="32">
        <v>-798</v>
      </c>
      <c r="D20" s="32">
        <v>-1705</v>
      </c>
      <c r="E20" s="32">
        <v>-2631</v>
      </c>
      <c r="F20" s="13">
        <f>2731-F19</f>
        <v>-2769</v>
      </c>
      <c r="G20" s="13">
        <f>6936-G19</f>
        <v>-3064</v>
      </c>
    </row>
    <row r="21" spans="2:7" ht="18" customHeight="1" x14ac:dyDescent="0.25">
      <c r="B21" s="27" t="s">
        <v>132</v>
      </c>
      <c r="C21" s="28">
        <f>C19+C20</f>
        <v>1202</v>
      </c>
      <c r="D21" s="28">
        <f>D19+D20</f>
        <v>295</v>
      </c>
      <c r="E21" s="28">
        <f>E19+E20</f>
        <v>2869</v>
      </c>
      <c r="F21" s="29">
        <f>F19+F20</f>
        <v>2731</v>
      </c>
      <c r="G21" s="29">
        <f>G19+G20</f>
        <v>6936</v>
      </c>
    </row>
    <row r="22" spans="2:7" ht="18" customHeight="1" x14ac:dyDescent="0.25">
      <c r="B22" s="27" t="s">
        <v>133</v>
      </c>
      <c r="C22" s="28">
        <f>C17+C21</f>
        <v>1620</v>
      </c>
      <c r="D22" s="28">
        <f>D17+D21</f>
        <v>912</v>
      </c>
      <c r="E22" s="28">
        <f>E17+E21</f>
        <v>3730</v>
      </c>
      <c r="F22" s="29">
        <f>F17+F21</f>
        <v>3771.3</v>
      </c>
      <c r="G22" s="29">
        <f>G17+G21</f>
        <v>8242.15</v>
      </c>
    </row>
  </sheetData>
  <mergeCells count="4">
    <mergeCell ref="B1:H1"/>
    <mergeCell ref="B3:G3"/>
    <mergeCell ref="B11:G11"/>
    <mergeCell ref="B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9" sqref="F19"/>
    </sheetView>
  </sheetViews>
  <sheetFormatPr defaultColWidth="8.7109375" defaultRowHeight="15" x14ac:dyDescent="0.25"/>
  <cols>
    <col min="1" max="1" width="4" customWidth="1"/>
    <col min="2" max="2" width="36" customWidth="1"/>
    <col min="3" max="7" width="14" customWidth="1"/>
  </cols>
  <sheetData>
    <row r="1" spans="2:8" ht="27.75" customHeight="1" x14ac:dyDescent="0.25">
      <c r="B1" s="37" t="s">
        <v>134</v>
      </c>
      <c r="C1" s="37"/>
      <c r="D1" s="37"/>
      <c r="E1" s="37"/>
      <c r="F1" s="37"/>
      <c r="G1" s="37"/>
      <c r="H1" s="37"/>
    </row>
    <row r="2" spans="2:8" ht="21.75" customHeight="1" x14ac:dyDescent="0.25">
      <c r="B2" s="25" t="s">
        <v>135</v>
      </c>
      <c r="C2" s="8" t="s">
        <v>29</v>
      </c>
      <c r="D2" s="8" t="s">
        <v>30</v>
      </c>
      <c r="E2" s="8" t="s">
        <v>31</v>
      </c>
      <c r="F2" s="9" t="s">
        <v>32</v>
      </c>
      <c r="G2" s="9" t="s">
        <v>33</v>
      </c>
    </row>
    <row r="3" spans="2:8" ht="18" customHeight="1" x14ac:dyDescent="0.25">
      <c r="B3" s="38" t="s">
        <v>136</v>
      </c>
      <c r="C3" s="38"/>
      <c r="D3" s="38"/>
      <c r="E3" s="38"/>
      <c r="F3" s="38"/>
      <c r="G3" s="38"/>
    </row>
    <row r="4" spans="2:8" ht="18" customHeight="1" x14ac:dyDescent="0.25">
      <c r="B4" s="26" t="s">
        <v>137</v>
      </c>
      <c r="C4" s="12">
        <v>-798</v>
      </c>
      <c r="D4" s="12">
        <v>-907</v>
      </c>
      <c r="E4" s="12">
        <v>-926</v>
      </c>
      <c r="F4" s="13">
        <v>-675</v>
      </c>
      <c r="G4" s="13">
        <v>-386</v>
      </c>
    </row>
    <row r="5" spans="2:8" ht="18" customHeight="1" x14ac:dyDescent="0.25">
      <c r="B5" s="26" t="s">
        <v>138</v>
      </c>
      <c r="C5" s="12">
        <v>45</v>
      </c>
      <c r="D5" s="12">
        <v>62</v>
      </c>
      <c r="E5" s="12">
        <v>78</v>
      </c>
      <c r="F5" s="13">
        <v>94</v>
      </c>
      <c r="G5" s="13">
        <v>110</v>
      </c>
    </row>
    <row r="6" spans="2:8" ht="18" customHeight="1" x14ac:dyDescent="0.25">
      <c r="B6" s="26" t="s">
        <v>139</v>
      </c>
      <c r="C6" s="12">
        <v>-52</v>
      </c>
      <c r="D6" s="12">
        <v>-51</v>
      </c>
      <c r="E6" s="12">
        <v>-63</v>
      </c>
      <c r="F6" s="13">
        <v>-10</v>
      </c>
      <c r="G6" s="13">
        <v>-50</v>
      </c>
    </row>
    <row r="7" spans="2:8" ht="18" customHeight="1" x14ac:dyDescent="0.25">
      <c r="B7" s="26" t="s">
        <v>140</v>
      </c>
      <c r="C7" s="12">
        <v>85</v>
      </c>
      <c r="D7" s="12">
        <v>130</v>
      </c>
      <c r="E7" s="12">
        <v>158</v>
      </c>
      <c r="F7" s="13">
        <v>126</v>
      </c>
      <c r="G7" s="13">
        <v>147</v>
      </c>
    </row>
    <row r="8" spans="2:8" ht="18" customHeight="1" x14ac:dyDescent="0.25">
      <c r="B8" s="26" t="s">
        <v>141</v>
      </c>
      <c r="C8" s="12">
        <v>62</v>
      </c>
      <c r="D8" s="12">
        <v>69</v>
      </c>
      <c r="E8" s="12">
        <v>86</v>
      </c>
      <c r="F8" s="13">
        <v>53</v>
      </c>
      <c r="G8" s="13">
        <v>119</v>
      </c>
    </row>
    <row r="9" spans="2:8" ht="18" customHeight="1" x14ac:dyDescent="0.25">
      <c r="B9" s="27" t="s">
        <v>142</v>
      </c>
      <c r="C9" s="28">
        <f>C4+C5+C6+C7+C8</f>
        <v>-658</v>
      </c>
      <c r="D9" s="28">
        <f>D4+D5+D6+D7+D8</f>
        <v>-697</v>
      </c>
      <c r="E9" s="28">
        <f>E4+E5+E6+E7+E8</f>
        <v>-667</v>
      </c>
      <c r="F9" s="29">
        <f>F4+F5+F6+F7+F8</f>
        <v>-412</v>
      </c>
      <c r="G9" s="29">
        <f>G4+G5+G6+G7+G8</f>
        <v>-60</v>
      </c>
    </row>
    <row r="10" spans="2:8" ht="18" customHeight="1" x14ac:dyDescent="0.25">
      <c r="B10" s="38" t="s">
        <v>143</v>
      </c>
      <c r="C10" s="38"/>
      <c r="D10" s="38"/>
      <c r="E10" s="38"/>
      <c r="F10" s="38"/>
      <c r="G10" s="38"/>
    </row>
    <row r="11" spans="2:8" ht="18" customHeight="1" x14ac:dyDescent="0.25">
      <c r="B11" s="26" t="s">
        <v>144</v>
      </c>
      <c r="C11" s="12">
        <v>-82</v>
      </c>
      <c r="D11" s="12">
        <v>-95</v>
      </c>
      <c r="E11" s="12">
        <v>-132</v>
      </c>
      <c r="F11" s="13">
        <f>-3661*0.04</f>
        <v>-146.44</v>
      </c>
      <c r="G11" s="13">
        <f>-4651*0.04</f>
        <v>-186.04</v>
      </c>
    </row>
    <row r="12" spans="2:8" ht="18" customHeight="1" x14ac:dyDescent="0.25">
      <c r="B12" s="27" t="s">
        <v>145</v>
      </c>
      <c r="C12" s="28">
        <f>C11</f>
        <v>-82</v>
      </c>
      <c r="D12" s="28">
        <f>D11</f>
        <v>-95</v>
      </c>
      <c r="E12" s="28">
        <f>E11</f>
        <v>-132</v>
      </c>
      <c r="F12" s="29">
        <f>F11</f>
        <v>-146.44</v>
      </c>
      <c r="G12" s="29">
        <f>G11</f>
        <v>-186.04</v>
      </c>
    </row>
    <row r="13" spans="2:8" ht="18" customHeight="1" x14ac:dyDescent="0.25">
      <c r="B13" s="38" t="s">
        <v>146</v>
      </c>
      <c r="C13" s="38"/>
      <c r="D13" s="38"/>
      <c r="E13" s="38"/>
      <c r="F13" s="38"/>
      <c r="G13" s="38"/>
    </row>
    <row r="14" spans="2:8" ht="18" customHeight="1" x14ac:dyDescent="0.25">
      <c r="B14" s="26" t="s">
        <v>147</v>
      </c>
      <c r="C14" s="12">
        <v>2000</v>
      </c>
      <c r="D14" s="12">
        <v>0</v>
      </c>
      <c r="E14" s="12">
        <v>3500</v>
      </c>
      <c r="F14" s="13">
        <v>0</v>
      </c>
      <c r="G14" s="13">
        <v>4500</v>
      </c>
    </row>
    <row r="15" spans="2:8" ht="18" customHeight="1" x14ac:dyDescent="0.25">
      <c r="B15" s="26" t="s">
        <v>148</v>
      </c>
      <c r="C15" s="12">
        <v>0</v>
      </c>
      <c r="D15" s="12">
        <v>0</v>
      </c>
      <c r="E15" s="12">
        <v>0</v>
      </c>
      <c r="F15" s="13">
        <v>0</v>
      </c>
      <c r="G15" s="13">
        <v>0</v>
      </c>
    </row>
    <row r="16" spans="2:8" ht="18" customHeight="1" x14ac:dyDescent="0.25">
      <c r="B16" s="27" t="s">
        <v>149</v>
      </c>
      <c r="C16" s="28">
        <f>C14+C15</f>
        <v>2000</v>
      </c>
      <c r="D16" s="28">
        <f>D14+D15</f>
        <v>0</v>
      </c>
      <c r="E16" s="28">
        <f>E14+E15</f>
        <v>3500</v>
      </c>
      <c r="F16" s="29">
        <f>F14+F15</f>
        <v>0</v>
      </c>
      <c r="G16" s="29">
        <f>G14+G15</f>
        <v>4500</v>
      </c>
    </row>
    <row r="17" spans="2:7" ht="18" customHeight="1" x14ac:dyDescent="0.25">
      <c r="B17" s="38" t="s">
        <v>150</v>
      </c>
      <c r="C17" s="38"/>
      <c r="D17" s="38"/>
      <c r="E17" s="38"/>
      <c r="F17" s="38"/>
      <c r="G17" s="38"/>
    </row>
    <row r="18" spans="2:7" ht="18" customHeight="1" x14ac:dyDescent="0.25">
      <c r="B18" s="27" t="s">
        <v>151</v>
      </c>
      <c r="C18" s="28">
        <f>C9+C12+C16</f>
        <v>1260</v>
      </c>
      <c r="D18" s="28">
        <f>D9+D12+D16</f>
        <v>-792</v>
      </c>
      <c r="E18" s="28">
        <f>E9+E12+E16</f>
        <v>2701</v>
      </c>
      <c r="F18" s="29">
        <f>F9+F12+F16</f>
        <v>-558.44000000000005</v>
      </c>
      <c r="G18" s="29">
        <f>G9+G12+G16</f>
        <v>4253.96</v>
      </c>
    </row>
    <row r="19" spans="2:7" ht="18" customHeight="1" x14ac:dyDescent="0.25">
      <c r="B19" s="26" t="s">
        <v>152</v>
      </c>
      <c r="C19" s="12">
        <v>1200</v>
      </c>
      <c r="D19" s="12">
        <v>820</v>
      </c>
      <c r="E19" s="12">
        <v>610</v>
      </c>
      <c r="F19" s="13">
        <f>E20</f>
        <v>3311</v>
      </c>
      <c r="G19" s="13">
        <f>F20</f>
        <v>2752.56</v>
      </c>
    </row>
    <row r="20" spans="2:7" ht="18" customHeight="1" x14ac:dyDescent="0.25">
      <c r="B20" s="27" t="s">
        <v>153</v>
      </c>
      <c r="C20" s="28">
        <f>C18+C19</f>
        <v>2460</v>
      </c>
      <c r="D20" s="28">
        <f>D18+D19</f>
        <v>28</v>
      </c>
      <c r="E20" s="28">
        <f>E18+E19</f>
        <v>3311</v>
      </c>
      <c r="F20" s="29">
        <f>F18+F19</f>
        <v>2752.56</v>
      </c>
      <c r="G20" s="29">
        <f>G18+G19</f>
        <v>7006.52</v>
      </c>
    </row>
  </sheetData>
  <mergeCells count="5">
    <mergeCell ref="B1:H1"/>
    <mergeCell ref="B3:G3"/>
    <mergeCell ref="B10:G10"/>
    <mergeCell ref="B13:G13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5" sqref="J15"/>
    </sheetView>
  </sheetViews>
  <sheetFormatPr defaultColWidth="8.7109375" defaultRowHeight="15" x14ac:dyDescent="0.25"/>
  <cols>
    <col min="1" max="1" width="4" customWidth="1"/>
    <col min="2" max="2" width="22.140625" bestFit="1" customWidth="1"/>
    <col min="3" max="7" width="14" customWidth="1"/>
  </cols>
  <sheetData>
    <row r="1" spans="2:8" ht="27.75" customHeight="1" x14ac:dyDescent="0.25">
      <c r="B1" s="37" t="s">
        <v>154</v>
      </c>
      <c r="C1" s="37"/>
      <c r="D1" s="37"/>
      <c r="E1" s="37"/>
      <c r="F1" s="37"/>
      <c r="G1" s="37"/>
      <c r="H1" s="37"/>
    </row>
    <row r="2" spans="2:8" ht="21.75" customHeight="1" x14ac:dyDescent="0.25">
      <c r="B2" s="25" t="s">
        <v>155</v>
      </c>
      <c r="C2" s="8" t="s">
        <v>29</v>
      </c>
      <c r="D2" s="8" t="s">
        <v>30</v>
      </c>
      <c r="E2" s="8" t="s">
        <v>31</v>
      </c>
      <c r="F2" s="9" t="s">
        <v>32</v>
      </c>
      <c r="G2" s="9" t="s">
        <v>33</v>
      </c>
    </row>
    <row r="3" spans="2:8" ht="18" customHeight="1" x14ac:dyDescent="0.25">
      <c r="B3" s="38" t="s">
        <v>156</v>
      </c>
      <c r="C3" s="38"/>
      <c r="D3" s="38"/>
      <c r="E3" s="38"/>
      <c r="F3" s="38"/>
      <c r="G3" s="38"/>
    </row>
    <row r="4" spans="2:8" ht="18" customHeight="1" x14ac:dyDescent="0.25">
      <c r="B4" s="26" t="s">
        <v>157</v>
      </c>
      <c r="C4" s="12">
        <v>1820</v>
      </c>
      <c r="D4" s="12">
        <v>2380</v>
      </c>
      <c r="E4" s="12">
        <v>3290</v>
      </c>
      <c r="F4" s="13">
        <v>4162</v>
      </c>
      <c r="G4" s="13">
        <v>5141</v>
      </c>
    </row>
    <row r="5" spans="2:8" ht="18" customHeight="1" x14ac:dyDescent="0.25">
      <c r="B5" s="26" t="s">
        <v>158</v>
      </c>
      <c r="C5" s="12">
        <v>152</v>
      </c>
      <c r="D5" s="12">
        <v>198</v>
      </c>
      <c r="E5" s="12">
        <v>274</v>
      </c>
      <c r="F5" s="13">
        <f>F4/12</f>
        <v>346.83333333333331</v>
      </c>
      <c r="G5" s="13">
        <f>G4/12</f>
        <v>428.41666666666669</v>
      </c>
    </row>
    <row r="6" spans="2:8" ht="18" customHeight="1" x14ac:dyDescent="0.25">
      <c r="B6" s="26" t="s">
        <v>159</v>
      </c>
      <c r="C6" s="21"/>
      <c r="D6" s="21">
        <v>0.308</v>
      </c>
      <c r="E6" s="21">
        <v>0.38200000000000001</v>
      </c>
      <c r="F6" s="22">
        <v>0.317</v>
      </c>
      <c r="G6" s="22">
        <v>0.23499999999999999</v>
      </c>
    </row>
    <row r="7" spans="2:8" ht="18" customHeight="1" x14ac:dyDescent="0.25">
      <c r="B7" s="26" t="s">
        <v>160</v>
      </c>
      <c r="C7" s="21">
        <v>0.91</v>
      </c>
      <c r="D7" s="21">
        <v>0.93</v>
      </c>
      <c r="E7" s="21">
        <v>0.94</v>
      </c>
      <c r="F7" s="22">
        <f>(3160-280)/3160</f>
        <v>0.91139240506329111</v>
      </c>
      <c r="G7" s="22">
        <f>(4162 - 340)/4162</f>
        <v>0.91830850552618937</v>
      </c>
    </row>
    <row r="8" spans="2:8" ht="18" customHeight="1" x14ac:dyDescent="0.25">
      <c r="B8" s="38" t="s">
        <v>161</v>
      </c>
      <c r="C8" s="38"/>
      <c r="D8" s="38"/>
      <c r="E8" s="38"/>
      <c r="F8" s="38"/>
      <c r="G8" s="38"/>
    </row>
    <row r="9" spans="2:8" ht="18" customHeight="1" x14ac:dyDescent="0.25">
      <c r="B9" s="26" t="s">
        <v>162</v>
      </c>
      <c r="C9" s="12">
        <v>18</v>
      </c>
      <c r="D9" s="12">
        <v>16</v>
      </c>
      <c r="E9" s="12">
        <v>14</v>
      </c>
      <c r="F9" s="13">
        <v>13.7</v>
      </c>
      <c r="G9" s="13">
        <v>13.4</v>
      </c>
    </row>
    <row r="10" spans="2:8" ht="18" customHeight="1" x14ac:dyDescent="0.25">
      <c r="B10" s="26" t="s">
        <v>163</v>
      </c>
      <c r="C10" s="12">
        <v>85</v>
      </c>
      <c r="D10" s="12">
        <v>92</v>
      </c>
      <c r="E10" s="12">
        <v>105</v>
      </c>
      <c r="F10" s="13">
        <v>118</v>
      </c>
      <c r="G10" s="13">
        <v>131</v>
      </c>
    </row>
    <row r="11" spans="2:8" ht="18" customHeight="1" x14ac:dyDescent="0.25">
      <c r="B11" s="26" t="s">
        <v>164</v>
      </c>
      <c r="C11" s="33">
        <v>4.7</v>
      </c>
      <c r="D11" s="33">
        <v>5.8</v>
      </c>
      <c r="E11" s="33">
        <v>7.5</v>
      </c>
      <c r="F11" s="34">
        <v>8.6</v>
      </c>
      <c r="G11" s="34">
        <v>9.8000000000000007</v>
      </c>
    </row>
    <row r="12" spans="2:8" ht="18" customHeight="1" x14ac:dyDescent="0.25">
      <c r="B12" s="26" t="s">
        <v>165</v>
      </c>
      <c r="C12" s="19">
        <v>14</v>
      </c>
      <c r="D12" s="19">
        <v>12</v>
      </c>
      <c r="E12" s="19">
        <v>11</v>
      </c>
      <c r="F12" s="20">
        <v>10</v>
      </c>
      <c r="G12" s="20">
        <v>9</v>
      </c>
    </row>
    <row r="13" spans="2:8" ht="18" customHeight="1" x14ac:dyDescent="0.25">
      <c r="B13" s="26" t="s">
        <v>166</v>
      </c>
      <c r="C13" s="21">
        <v>7.0000000000000001E-3</v>
      </c>
      <c r="D13" s="21">
        <v>8.9999999999999993E-3</v>
      </c>
      <c r="E13" s="21">
        <v>8.0000000000000002E-3</v>
      </c>
      <c r="F13" s="22">
        <v>8.0000000000000002E-3</v>
      </c>
      <c r="G13" s="22">
        <v>8.0000000000000002E-3</v>
      </c>
    </row>
    <row r="14" spans="2:8" ht="18" customHeight="1" x14ac:dyDescent="0.25">
      <c r="B14" s="38" t="s">
        <v>167</v>
      </c>
      <c r="C14" s="38"/>
      <c r="D14" s="38"/>
      <c r="E14" s="38"/>
      <c r="F14" s="38"/>
      <c r="G14" s="38"/>
    </row>
    <row r="15" spans="2:8" ht="18" customHeight="1" x14ac:dyDescent="0.25">
      <c r="B15" s="26" t="s">
        <v>109</v>
      </c>
      <c r="C15" s="21">
        <v>0.68</v>
      </c>
      <c r="D15" s="21">
        <v>0.7</v>
      </c>
      <c r="E15" s="21">
        <v>0.72</v>
      </c>
      <c r="F15" s="22">
        <v>0.74</v>
      </c>
      <c r="G15" s="22">
        <v>0.76</v>
      </c>
    </row>
    <row r="16" spans="2:8" ht="18" customHeight="1" x14ac:dyDescent="0.25">
      <c r="B16" s="26" t="s">
        <v>110</v>
      </c>
      <c r="C16" s="21">
        <v>-0.47</v>
      </c>
      <c r="D16" s="21">
        <v>-0.36</v>
      </c>
      <c r="E16" s="21">
        <v>-0.26</v>
      </c>
      <c r="F16" s="22">
        <v>-0.16</v>
      </c>
      <c r="G16" s="22">
        <v>-0.06</v>
      </c>
    </row>
    <row r="17" spans="2:7" ht="18" customHeight="1" x14ac:dyDescent="0.25">
      <c r="B17" s="26" t="s">
        <v>168</v>
      </c>
      <c r="C17" s="12">
        <v>64</v>
      </c>
      <c r="D17" s="12">
        <v>71</v>
      </c>
      <c r="E17" s="12">
        <v>65</v>
      </c>
      <c r="F17" s="13">
        <f>675/12</f>
        <v>56.25</v>
      </c>
      <c r="G17" s="13">
        <f>386/12</f>
        <v>32.166666666666664</v>
      </c>
    </row>
    <row r="18" spans="2:7" ht="18" customHeight="1" x14ac:dyDescent="0.25">
      <c r="B18" s="26" t="s">
        <v>169</v>
      </c>
      <c r="C18" s="19">
        <v>13</v>
      </c>
      <c r="D18" s="19">
        <v>9</v>
      </c>
      <c r="E18" s="19">
        <v>19</v>
      </c>
      <c r="F18" s="20">
        <f>2753/56</f>
        <v>49.160714285714285</v>
      </c>
      <c r="G18" s="20">
        <f>7007/32</f>
        <v>218.96875</v>
      </c>
    </row>
    <row r="19" spans="2:7" ht="18" customHeight="1" x14ac:dyDescent="0.25">
      <c r="B19" s="38" t="s">
        <v>170</v>
      </c>
      <c r="C19" s="38"/>
      <c r="D19" s="38"/>
      <c r="E19" s="38"/>
      <c r="F19" s="38"/>
      <c r="G19" s="38"/>
    </row>
    <row r="20" spans="2:7" ht="18" customHeight="1" x14ac:dyDescent="0.25">
      <c r="B20" s="26" t="s">
        <v>159</v>
      </c>
      <c r="C20" s="21"/>
      <c r="D20" s="21">
        <v>0.308</v>
      </c>
      <c r="E20" s="21">
        <v>0.38200000000000001</v>
      </c>
      <c r="F20" s="22">
        <v>0.317</v>
      </c>
      <c r="G20" s="22">
        <v>0.23499999999999999</v>
      </c>
    </row>
    <row r="21" spans="2:7" ht="18" customHeight="1" x14ac:dyDescent="0.25">
      <c r="B21" s="26" t="s">
        <v>110</v>
      </c>
      <c r="C21" s="21">
        <v>-0.47</v>
      </c>
      <c r="D21" s="21">
        <v>-0.36</v>
      </c>
      <c r="E21" s="21">
        <v>-0.26</v>
      </c>
      <c r="F21" s="22">
        <v>-0.16</v>
      </c>
      <c r="G21" s="22">
        <v>-0.06</v>
      </c>
    </row>
    <row r="22" spans="2:7" ht="18" customHeight="1" x14ac:dyDescent="0.25">
      <c r="B22" s="27" t="s">
        <v>171</v>
      </c>
      <c r="C22" s="35">
        <f>C20+C21</f>
        <v>-0.47</v>
      </c>
      <c r="D22" s="35">
        <f>D20+D21</f>
        <v>-5.1999999999999991E-2</v>
      </c>
      <c r="E22" s="35">
        <f>E20+E21</f>
        <v>0.122</v>
      </c>
      <c r="F22" s="36">
        <f>F20+F21</f>
        <v>0.157</v>
      </c>
      <c r="G22" s="36">
        <f>G20+G21</f>
        <v>0.17499999999999999</v>
      </c>
    </row>
  </sheetData>
  <mergeCells count="5">
    <mergeCell ref="B1:H1"/>
    <mergeCell ref="B3:G3"/>
    <mergeCell ref="B8:G8"/>
    <mergeCell ref="B14:G14"/>
    <mergeCell ref="B19:G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P&amp;L</vt:lpstr>
      <vt:lpstr>Balance Sheet</vt:lpstr>
      <vt:lpstr>Cash Flow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Joseph Welch</cp:lastModifiedBy>
  <cp:revision>0</cp:revision>
  <dcterms:created xsi:type="dcterms:W3CDTF">2026-04-04T17:35:06Z</dcterms:created>
  <dcterms:modified xsi:type="dcterms:W3CDTF">2026-04-05T23:38:41Z</dcterms:modified>
  <dc:language>en-US</dc:language>
</cp:coreProperties>
</file>